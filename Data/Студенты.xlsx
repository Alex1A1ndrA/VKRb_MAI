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Lab_Pyth\Предзащиты\ВКР\"/>
    </mc:Choice>
  </mc:AlternateContent>
  <bookViews>
    <workbookView xWindow="0" yWindow="0" windowWidth="18900" windowHeight="6795" activeTab="3"/>
  </bookViews>
  <sheets>
    <sheet name="Лист1" sheetId="1" r:id="rId1"/>
    <sheet name="защ" sheetId="4" r:id="rId2"/>
    <sheet name="пред" sheetId="3" r:id="rId3"/>
    <sheet name="итог" sheetId="2" r:id="rId4"/>
    <sheet name="Лист2" sheetId="5" r:id="rId5"/>
  </sheets>
  <definedNames>
    <definedName name="_xlnm._FilterDatabase" localSheetId="3" hidden="1">итог!$A$1:$N$234</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4" i="5" l="1"/>
  <c r="M234" i="5"/>
  <c r="H234" i="5"/>
  <c r="M233" i="5"/>
  <c r="H233" i="5"/>
  <c r="M232" i="5"/>
  <c r="H232" i="5"/>
  <c r="M231" i="5"/>
  <c r="H231" i="5"/>
  <c r="M230" i="5"/>
  <c r="H230" i="5"/>
  <c r="M229" i="5"/>
  <c r="H229" i="5"/>
  <c r="M228" i="5"/>
  <c r="H228" i="5"/>
  <c r="M227" i="5"/>
  <c r="H227" i="5"/>
  <c r="M226" i="5"/>
  <c r="H226" i="5"/>
  <c r="M225" i="5"/>
  <c r="H225" i="5"/>
  <c r="M224" i="5"/>
  <c r="H224" i="5"/>
  <c r="M223" i="5"/>
  <c r="H223" i="5"/>
  <c r="M222" i="5"/>
  <c r="H222" i="5"/>
  <c r="M221" i="5"/>
  <c r="H221" i="5"/>
  <c r="M220" i="5"/>
  <c r="H220" i="5"/>
  <c r="M219" i="5"/>
  <c r="H219" i="5"/>
  <c r="M218" i="5"/>
  <c r="H218" i="5"/>
  <c r="M217" i="5"/>
  <c r="H217" i="5"/>
  <c r="M216" i="5"/>
  <c r="H216" i="5"/>
  <c r="M215" i="5"/>
  <c r="H215" i="5"/>
  <c r="M214" i="5"/>
  <c r="H214" i="5"/>
  <c r="M213" i="5"/>
  <c r="H213" i="5"/>
  <c r="M212" i="5"/>
  <c r="H212" i="5"/>
  <c r="M211" i="5"/>
  <c r="H211" i="5"/>
  <c r="M210" i="5"/>
  <c r="H210" i="5"/>
  <c r="M209" i="5"/>
  <c r="H209" i="5"/>
  <c r="M208" i="5"/>
  <c r="H208" i="5"/>
  <c r="M207" i="5"/>
  <c r="H207" i="5"/>
  <c r="M206" i="5"/>
  <c r="H206" i="5"/>
  <c r="M205" i="5"/>
  <c r="H205" i="5"/>
  <c r="M204" i="5"/>
  <c r="H204" i="5"/>
  <c r="M203" i="5"/>
  <c r="H203" i="5"/>
  <c r="M202" i="5"/>
  <c r="H202" i="5"/>
  <c r="M201" i="5"/>
  <c r="H201" i="5"/>
  <c r="M200" i="5"/>
  <c r="H200" i="5"/>
  <c r="M199" i="5"/>
  <c r="H199" i="5"/>
  <c r="M198" i="5"/>
  <c r="H198" i="5"/>
  <c r="M197" i="5"/>
  <c r="H197" i="5"/>
  <c r="M196" i="5"/>
  <c r="H196" i="5"/>
  <c r="M195" i="5"/>
  <c r="H195" i="5"/>
  <c r="M194" i="5"/>
  <c r="H194" i="5"/>
  <c r="M193" i="5"/>
  <c r="H193" i="5"/>
  <c r="M192" i="5"/>
  <c r="H192" i="5"/>
  <c r="M191" i="5"/>
  <c r="H191" i="5"/>
  <c r="M190" i="5"/>
  <c r="H190" i="5"/>
  <c r="M189" i="5"/>
  <c r="H189" i="5"/>
  <c r="M188" i="5"/>
  <c r="H188" i="5"/>
  <c r="M187" i="5"/>
  <c r="H187" i="5"/>
  <c r="M186" i="5"/>
  <c r="H186" i="5"/>
  <c r="M185" i="5"/>
  <c r="H185" i="5"/>
  <c r="M184" i="5"/>
  <c r="H184" i="5"/>
  <c r="M183" i="5"/>
  <c r="H183" i="5"/>
  <c r="M182" i="5"/>
  <c r="H182" i="5"/>
  <c r="M181" i="5"/>
  <c r="H181" i="5"/>
  <c r="M180" i="5"/>
  <c r="H180" i="5"/>
  <c r="M179" i="5"/>
  <c r="H179" i="5"/>
  <c r="M178" i="5"/>
  <c r="H178" i="5"/>
  <c r="M177" i="5"/>
  <c r="H177" i="5"/>
  <c r="M176" i="5"/>
  <c r="H176" i="5"/>
  <c r="M175" i="5"/>
  <c r="H175" i="5"/>
  <c r="M174" i="5"/>
  <c r="H174" i="5"/>
  <c r="M173" i="5"/>
  <c r="H173" i="5"/>
  <c r="M172" i="5"/>
  <c r="H172" i="5"/>
  <c r="M171" i="5"/>
  <c r="H171" i="5"/>
  <c r="M170" i="5"/>
  <c r="H170" i="5"/>
  <c r="M169" i="5"/>
  <c r="H169" i="5"/>
  <c r="M168" i="5"/>
  <c r="H168" i="5"/>
  <c r="M167" i="5"/>
  <c r="H167" i="5"/>
  <c r="M166" i="5"/>
  <c r="H166" i="5"/>
  <c r="M165" i="5"/>
  <c r="H165" i="5"/>
  <c r="M164" i="5"/>
  <c r="H164" i="5"/>
  <c r="M163" i="5"/>
  <c r="H163" i="5"/>
  <c r="M162" i="5"/>
  <c r="H162" i="5"/>
  <c r="M161" i="5"/>
  <c r="H161" i="5"/>
  <c r="M160" i="5"/>
  <c r="H160" i="5"/>
  <c r="M159" i="5"/>
  <c r="H159" i="5"/>
  <c r="M158" i="5"/>
  <c r="H158" i="5"/>
  <c r="M157" i="5"/>
  <c r="H157" i="5"/>
  <c r="M156" i="5"/>
  <c r="H156" i="5"/>
  <c r="M155" i="5"/>
  <c r="H155" i="5"/>
  <c r="M154" i="5"/>
  <c r="H154" i="5"/>
  <c r="M153" i="5"/>
  <c r="H153" i="5"/>
  <c r="M152" i="5"/>
  <c r="H152" i="5"/>
  <c r="M151" i="5"/>
  <c r="H151" i="5"/>
  <c r="M150" i="5"/>
  <c r="H150" i="5"/>
  <c r="M149" i="5"/>
  <c r="H149" i="5"/>
  <c r="M148" i="5"/>
  <c r="H148" i="5"/>
  <c r="M147" i="5"/>
  <c r="H147" i="5"/>
  <c r="M146" i="5"/>
  <c r="H146" i="5"/>
  <c r="M145" i="5"/>
  <c r="H145" i="5"/>
  <c r="M144" i="5"/>
  <c r="H144" i="5"/>
  <c r="M143" i="5"/>
  <c r="H143" i="5"/>
  <c r="M142" i="5"/>
  <c r="H142" i="5"/>
  <c r="M141" i="5"/>
  <c r="H141" i="5"/>
  <c r="M140" i="5"/>
  <c r="H140" i="5"/>
  <c r="M139" i="5"/>
  <c r="H139" i="5"/>
  <c r="M138" i="5"/>
  <c r="H138" i="5"/>
  <c r="M137" i="5"/>
  <c r="H137" i="5"/>
  <c r="M136" i="5"/>
  <c r="H136" i="5"/>
  <c r="M135" i="5"/>
  <c r="H135" i="5"/>
  <c r="M134" i="5"/>
  <c r="H134" i="5"/>
  <c r="M133" i="5"/>
  <c r="H133" i="5"/>
  <c r="M132" i="5"/>
  <c r="H132" i="5"/>
  <c r="M131" i="5"/>
  <c r="H131" i="5"/>
  <c r="M130" i="5"/>
  <c r="H130" i="5"/>
  <c r="M129" i="5"/>
  <c r="H129" i="5"/>
  <c r="M128" i="5"/>
  <c r="H128" i="5"/>
  <c r="M127" i="5"/>
  <c r="H127" i="5"/>
  <c r="M126" i="5"/>
  <c r="H126" i="5"/>
  <c r="M125" i="5"/>
  <c r="H125" i="5"/>
  <c r="M124" i="5"/>
  <c r="H124" i="5"/>
  <c r="M123" i="5"/>
  <c r="H123" i="5"/>
  <c r="M122" i="5"/>
  <c r="H122" i="5"/>
  <c r="M121" i="5"/>
  <c r="H121" i="5"/>
  <c r="M120" i="5"/>
  <c r="H120" i="5"/>
  <c r="M119" i="5"/>
  <c r="H119" i="5"/>
  <c r="M118" i="5"/>
  <c r="H118" i="5"/>
  <c r="M117" i="5"/>
  <c r="H117" i="5"/>
  <c r="M116" i="5"/>
  <c r="H116" i="5"/>
  <c r="M115" i="5"/>
  <c r="H115" i="5"/>
  <c r="M114" i="5"/>
  <c r="H114" i="5"/>
  <c r="M113" i="5"/>
  <c r="H113" i="5"/>
  <c r="M112" i="5"/>
  <c r="H112" i="5"/>
  <c r="M111" i="5"/>
  <c r="H111" i="5"/>
  <c r="M110" i="5"/>
  <c r="H110" i="5"/>
  <c r="M109" i="5"/>
  <c r="H109" i="5"/>
  <c r="M108" i="5"/>
  <c r="H108" i="5"/>
  <c r="M107" i="5"/>
  <c r="H107" i="5"/>
  <c r="M106" i="5"/>
  <c r="H106" i="5"/>
  <c r="M105" i="5"/>
  <c r="H105" i="5"/>
  <c r="M104" i="5"/>
  <c r="H104" i="5"/>
  <c r="M103" i="5"/>
  <c r="H103" i="5"/>
  <c r="M102" i="5"/>
  <c r="H102" i="5"/>
  <c r="M101" i="5"/>
  <c r="H101" i="5"/>
  <c r="M100" i="5"/>
  <c r="H100" i="5"/>
  <c r="M99" i="5"/>
  <c r="H99" i="5"/>
  <c r="M98" i="5"/>
  <c r="H98" i="5"/>
  <c r="M97" i="5"/>
  <c r="H97" i="5"/>
  <c r="M96" i="5"/>
  <c r="H96" i="5"/>
  <c r="M95" i="5"/>
  <c r="H95" i="5"/>
  <c r="M94" i="5"/>
  <c r="H94" i="5"/>
  <c r="M93" i="5"/>
  <c r="H93" i="5"/>
  <c r="M92" i="5"/>
  <c r="H92" i="5"/>
  <c r="M91" i="5"/>
  <c r="H91" i="5"/>
  <c r="M90" i="5"/>
  <c r="H90" i="5"/>
  <c r="M89" i="5"/>
  <c r="H89" i="5"/>
  <c r="M88" i="5"/>
  <c r="H88" i="5"/>
  <c r="M87" i="5"/>
  <c r="H87" i="5"/>
  <c r="M86" i="5"/>
  <c r="H86" i="5"/>
  <c r="M85" i="5"/>
  <c r="H85" i="5"/>
  <c r="M84" i="5"/>
  <c r="H84" i="5"/>
  <c r="M83" i="5"/>
  <c r="H83" i="5"/>
  <c r="M82" i="5"/>
  <c r="H82" i="5"/>
  <c r="M81" i="5"/>
  <c r="H81" i="5"/>
  <c r="M80" i="5"/>
  <c r="H80" i="5"/>
  <c r="M79" i="5"/>
  <c r="H79" i="5"/>
  <c r="M78" i="5"/>
  <c r="H78" i="5"/>
  <c r="M77" i="5"/>
  <c r="H77" i="5"/>
  <c r="M76" i="5"/>
  <c r="H76" i="5"/>
  <c r="M75" i="5"/>
  <c r="H75" i="5"/>
  <c r="M74" i="5"/>
  <c r="H74" i="5"/>
  <c r="M73" i="5"/>
  <c r="H73" i="5"/>
  <c r="M72" i="5"/>
  <c r="H72" i="5"/>
  <c r="M71" i="5"/>
  <c r="H71" i="5"/>
  <c r="M70" i="5"/>
  <c r="H70" i="5"/>
  <c r="M69" i="5"/>
  <c r="H69" i="5"/>
  <c r="M68" i="5"/>
  <c r="H68" i="5"/>
  <c r="M67" i="5"/>
  <c r="H67" i="5"/>
  <c r="M66" i="5"/>
  <c r="H66" i="5"/>
  <c r="M65" i="5"/>
  <c r="H65" i="5"/>
  <c r="M64" i="5"/>
  <c r="H64" i="5"/>
  <c r="M63" i="5"/>
  <c r="H63" i="5"/>
  <c r="M62" i="5"/>
  <c r="H62" i="5"/>
  <c r="M61" i="5"/>
  <c r="H61" i="5"/>
  <c r="M60" i="5"/>
  <c r="H60" i="5"/>
  <c r="M59" i="5"/>
  <c r="H59" i="5"/>
  <c r="M58" i="5"/>
  <c r="H58" i="5"/>
  <c r="M57" i="5"/>
  <c r="H57" i="5"/>
  <c r="M56" i="5"/>
  <c r="H56" i="5"/>
  <c r="M55" i="5"/>
  <c r="H55" i="5"/>
  <c r="M54" i="5"/>
  <c r="H54" i="5"/>
  <c r="M53" i="5"/>
  <c r="H53" i="5"/>
  <c r="M52" i="5"/>
  <c r="H52" i="5"/>
  <c r="M51" i="5"/>
  <c r="H51" i="5"/>
  <c r="M50" i="5"/>
  <c r="H50" i="5"/>
  <c r="M49" i="5"/>
  <c r="H49" i="5"/>
  <c r="M48" i="5"/>
  <c r="H48" i="5"/>
  <c r="M47" i="5"/>
  <c r="H47" i="5"/>
  <c r="M46" i="5"/>
  <c r="H46" i="5"/>
  <c r="M45" i="5"/>
  <c r="H45" i="5"/>
  <c r="M44" i="5"/>
  <c r="H44" i="5"/>
  <c r="M43" i="5"/>
  <c r="H43" i="5"/>
  <c r="M42" i="5"/>
  <c r="H42" i="5"/>
  <c r="M41" i="5"/>
  <c r="H41" i="5"/>
  <c r="M40" i="5"/>
  <c r="H40" i="5"/>
  <c r="M39" i="5"/>
  <c r="H39" i="5"/>
  <c r="M38" i="5"/>
  <c r="H38" i="5"/>
  <c r="M37" i="5"/>
  <c r="H37" i="5"/>
  <c r="M36" i="5"/>
  <c r="H36" i="5"/>
  <c r="M35" i="5"/>
  <c r="H35" i="5"/>
  <c r="M34" i="5"/>
  <c r="H34" i="5"/>
  <c r="M33" i="5"/>
  <c r="H33" i="5"/>
  <c r="M32" i="5"/>
  <c r="H32" i="5"/>
  <c r="M31" i="5"/>
  <c r="H31" i="5"/>
  <c r="M30" i="5"/>
  <c r="H30" i="5"/>
  <c r="M29" i="5"/>
  <c r="H29" i="5"/>
  <c r="M28" i="5"/>
  <c r="H28" i="5"/>
  <c r="M27" i="5"/>
  <c r="H27" i="5"/>
  <c r="M26" i="5"/>
  <c r="H26" i="5"/>
  <c r="M25" i="5"/>
  <c r="H25" i="5"/>
  <c r="M24" i="5"/>
  <c r="H24" i="5"/>
  <c r="M23" i="5"/>
  <c r="H23" i="5"/>
  <c r="M22" i="5"/>
  <c r="H22" i="5"/>
  <c r="M21" i="5"/>
  <c r="H21" i="5"/>
  <c r="M20" i="5"/>
  <c r="H20" i="5"/>
  <c r="M19" i="5"/>
  <c r="H19" i="5"/>
  <c r="M18" i="5"/>
  <c r="H18" i="5"/>
  <c r="M17" i="5"/>
  <c r="H17" i="5"/>
  <c r="M16" i="5"/>
  <c r="H16" i="5"/>
  <c r="M15" i="5"/>
  <c r="H15" i="5"/>
  <c r="M14" i="5"/>
  <c r="H14" i="5"/>
  <c r="M13" i="5"/>
  <c r="H13" i="5"/>
  <c r="M12" i="5"/>
  <c r="H12" i="5"/>
  <c r="M11" i="5"/>
  <c r="H11" i="5"/>
  <c r="M10" i="5"/>
  <c r="H10" i="5"/>
  <c r="M9" i="5"/>
  <c r="H9" i="5"/>
  <c r="M8" i="5"/>
  <c r="H8" i="5"/>
  <c r="M7" i="5"/>
  <c r="H7" i="5"/>
  <c r="M6" i="5"/>
  <c r="H6" i="5"/>
  <c r="M5" i="5"/>
  <c r="H5" i="5"/>
  <c r="M4" i="5"/>
  <c r="M3" i="5"/>
  <c r="H3" i="5"/>
  <c r="M2" i="5"/>
  <c r="H2" i="5"/>
  <c r="J182" i="1" l="1"/>
  <c r="K182" i="1"/>
  <c r="L182" i="1"/>
  <c r="J183" i="1"/>
  <c r="K183" i="1"/>
  <c r="L183" i="1"/>
  <c r="J184" i="1"/>
  <c r="K184" i="1"/>
  <c r="L184" i="1"/>
  <c r="J185" i="1"/>
  <c r="K185" i="1"/>
  <c r="L185" i="1"/>
  <c r="J186" i="1"/>
  <c r="K186" i="1"/>
  <c r="L186" i="1"/>
  <c r="J187" i="1"/>
  <c r="K187" i="1"/>
  <c r="L187" i="1"/>
  <c r="J188" i="1"/>
  <c r="K188" i="1"/>
  <c r="L188" i="1"/>
  <c r="J189" i="1"/>
  <c r="K189" i="1"/>
  <c r="L189" i="1"/>
  <c r="J190" i="1"/>
  <c r="K190" i="1"/>
  <c r="L190" i="1"/>
  <c r="J191" i="1"/>
  <c r="K191" i="1"/>
  <c r="L191" i="1"/>
  <c r="J192" i="1"/>
  <c r="K192" i="1"/>
  <c r="L192" i="1"/>
  <c r="J193" i="1"/>
  <c r="K193" i="1"/>
  <c r="L193" i="1"/>
  <c r="J194" i="1"/>
  <c r="K194" i="1"/>
  <c r="L194" i="1"/>
  <c r="J195" i="1"/>
  <c r="K195" i="1"/>
  <c r="L195" i="1"/>
  <c r="J196" i="1"/>
  <c r="K196" i="1"/>
  <c r="L196" i="1"/>
  <c r="J197" i="1"/>
  <c r="K197" i="1"/>
  <c r="L197" i="1"/>
  <c r="J198" i="1"/>
  <c r="K198" i="1"/>
  <c r="L198" i="1"/>
  <c r="J199" i="1"/>
  <c r="K199" i="1"/>
  <c r="L199" i="1"/>
  <c r="J200" i="1"/>
  <c r="K200" i="1"/>
  <c r="L200" i="1"/>
  <c r="J201" i="1"/>
  <c r="K201" i="1"/>
  <c r="L201" i="1"/>
  <c r="J202" i="1"/>
  <c r="K202" i="1"/>
  <c r="L202" i="1"/>
  <c r="J203" i="1"/>
  <c r="K203" i="1"/>
  <c r="L203" i="1"/>
  <c r="J204" i="1"/>
  <c r="K204" i="1"/>
  <c r="L204" i="1"/>
  <c r="J205" i="1"/>
  <c r="K205" i="1"/>
  <c r="L205" i="1"/>
  <c r="J206" i="1"/>
  <c r="K206" i="1"/>
  <c r="L206" i="1"/>
  <c r="J207" i="1"/>
  <c r="K207" i="1"/>
  <c r="L207" i="1"/>
  <c r="J208" i="1"/>
  <c r="K208" i="1"/>
  <c r="L208" i="1"/>
  <c r="J209" i="1"/>
  <c r="K209" i="1"/>
  <c r="L209" i="1"/>
  <c r="J210" i="1"/>
  <c r="K210" i="1"/>
  <c r="L210" i="1"/>
  <c r="J211" i="1"/>
  <c r="K211" i="1"/>
  <c r="L211" i="1"/>
  <c r="J212" i="1"/>
  <c r="K212" i="1"/>
  <c r="L212" i="1"/>
  <c r="J213" i="1"/>
  <c r="K213" i="1"/>
  <c r="L213" i="1"/>
  <c r="J214" i="1"/>
  <c r="K214" i="1"/>
  <c r="L214" i="1"/>
  <c r="J215" i="1"/>
  <c r="K215" i="1"/>
  <c r="L215" i="1"/>
  <c r="J216" i="1"/>
  <c r="K216" i="1"/>
  <c r="L216" i="1"/>
  <c r="J217" i="1"/>
  <c r="K217" i="1"/>
  <c r="L217" i="1"/>
  <c r="J218" i="1"/>
  <c r="K218" i="1"/>
  <c r="L218" i="1"/>
  <c r="J219" i="1"/>
  <c r="K219" i="1"/>
  <c r="L219" i="1"/>
  <c r="J220" i="1"/>
  <c r="K220" i="1"/>
  <c r="L220" i="1"/>
  <c r="J221" i="1"/>
  <c r="K221" i="1"/>
  <c r="L221" i="1"/>
  <c r="J222" i="1"/>
  <c r="K222" i="1"/>
  <c r="L222" i="1"/>
  <c r="J223" i="1"/>
  <c r="K223" i="1"/>
  <c r="L223" i="1"/>
  <c r="J224" i="1"/>
  <c r="K224" i="1"/>
  <c r="L224" i="1"/>
  <c r="J225" i="1"/>
  <c r="K225" i="1"/>
  <c r="L225" i="1"/>
  <c r="J226" i="1"/>
  <c r="K226" i="1"/>
  <c r="L226" i="1"/>
  <c r="J227" i="1"/>
  <c r="K227" i="1"/>
  <c r="L227" i="1"/>
  <c r="J228" i="1"/>
  <c r="K228" i="1"/>
  <c r="L228" i="1"/>
  <c r="J229" i="1"/>
  <c r="K229" i="1"/>
  <c r="L229" i="1"/>
  <c r="J230" i="1"/>
  <c r="K230" i="1"/>
  <c r="L230" i="1"/>
  <c r="J231" i="1"/>
  <c r="K231" i="1"/>
  <c r="L231" i="1"/>
  <c r="J232" i="1"/>
  <c r="K232" i="1"/>
  <c r="L232" i="1"/>
  <c r="J233" i="1"/>
  <c r="K233" i="1"/>
  <c r="L233" i="1"/>
  <c r="J234" i="1"/>
  <c r="K234" i="1"/>
  <c r="L234" i="1"/>
  <c r="J181" i="1"/>
  <c r="K181" i="1"/>
  <c r="L181" i="1"/>
  <c r="J177" i="1"/>
  <c r="K177" i="1"/>
  <c r="L177" i="1"/>
  <c r="J178" i="1"/>
  <c r="K178" i="1"/>
  <c r="L178" i="1"/>
  <c r="J179" i="1"/>
  <c r="K179" i="1"/>
  <c r="L179" i="1"/>
  <c r="J180" i="1"/>
  <c r="K180" i="1"/>
  <c r="L180" i="1"/>
  <c r="J172" i="1"/>
  <c r="K172" i="1"/>
  <c r="L172" i="1"/>
  <c r="J173" i="1"/>
  <c r="K173" i="1"/>
  <c r="L173" i="1"/>
  <c r="J174" i="1"/>
  <c r="K174" i="1"/>
  <c r="L174" i="1"/>
  <c r="J175" i="1"/>
  <c r="K175" i="1"/>
  <c r="L175" i="1"/>
  <c r="J176" i="1"/>
  <c r="K176" i="1"/>
  <c r="L176" i="1"/>
  <c r="J167" i="1"/>
  <c r="K167" i="1"/>
  <c r="L167" i="1"/>
  <c r="J168" i="1"/>
  <c r="K168" i="1"/>
  <c r="L168" i="1"/>
  <c r="J169" i="1"/>
  <c r="K169" i="1"/>
  <c r="L169" i="1"/>
  <c r="J170" i="1"/>
  <c r="K170" i="1"/>
  <c r="L170" i="1"/>
  <c r="J171" i="1"/>
  <c r="K171" i="1"/>
  <c r="L171" i="1"/>
  <c r="J163" i="1"/>
  <c r="K163" i="1"/>
  <c r="L163" i="1"/>
  <c r="J164" i="1"/>
  <c r="K164" i="1"/>
  <c r="L164" i="1"/>
  <c r="J165" i="1"/>
  <c r="K165" i="1"/>
  <c r="L165" i="1"/>
  <c r="J166" i="1"/>
  <c r="K166" i="1"/>
  <c r="L166" i="1"/>
  <c r="J161" i="1"/>
  <c r="K161" i="1"/>
  <c r="L161" i="1"/>
  <c r="J162" i="1"/>
  <c r="K162" i="1"/>
  <c r="L162" i="1"/>
  <c r="J146" i="1"/>
  <c r="K146" i="1"/>
  <c r="L146" i="1"/>
  <c r="J147" i="1"/>
  <c r="K147" i="1"/>
  <c r="L147" i="1"/>
  <c r="J148" i="1"/>
  <c r="K148" i="1"/>
  <c r="L148" i="1"/>
  <c r="J149" i="1"/>
  <c r="K149" i="1"/>
  <c r="L149" i="1"/>
  <c r="J150" i="1"/>
  <c r="K150" i="1"/>
  <c r="L150" i="1"/>
  <c r="J151" i="1"/>
  <c r="K151" i="1"/>
  <c r="L151" i="1"/>
  <c r="J152" i="1"/>
  <c r="K152" i="1"/>
  <c r="L152" i="1"/>
  <c r="J153" i="1"/>
  <c r="K153" i="1"/>
  <c r="L153" i="1"/>
  <c r="J154" i="1"/>
  <c r="K154" i="1"/>
  <c r="L154" i="1"/>
  <c r="J155" i="1"/>
  <c r="K155" i="1"/>
  <c r="L155" i="1"/>
  <c r="J156" i="1"/>
  <c r="K156" i="1"/>
  <c r="L156" i="1"/>
  <c r="J157" i="1"/>
  <c r="K157" i="1"/>
  <c r="L157" i="1"/>
  <c r="J158" i="1"/>
  <c r="K158" i="1"/>
  <c r="L158" i="1"/>
  <c r="J159" i="1"/>
  <c r="K159" i="1"/>
  <c r="L159" i="1"/>
  <c r="J160" i="1"/>
  <c r="K160" i="1"/>
  <c r="L160" i="1"/>
  <c r="J145" i="1"/>
  <c r="K145" i="1"/>
  <c r="L145" i="1"/>
  <c r="J139" i="1"/>
  <c r="K139" i="1"/>
  <c r="L139" i="1"/>
  <c r="J140" i="1"/>
  <c r="K140" i="1"/>
  <c r="L140" i="1"/>
  <c r="J141" i="1"/>
  <c r="K141" i="1"/>
  <c r="L141" i="1"/>
  <c r="J142" i="1"/>
  <c r="K142" i="1"/>
  <c r="L142" i="1"/>
  <c r="J143" i="1"/>
  <c r="K143" i="1"/>
  <c r="L143" i="1"/>
  <c r="J144" i="1"/>
  <c r="K144" i="1"/>
  <c r="L144" i="1"/>
  <c r="J138" i="1"/>
  <c r="K138" i="1"/>
  <c r="L138" i="1"/>
  <c r="J125" i="1" l="1"/>
  <c r="K125" i="1"/>
  <c r="L125" i="1"/>
  <c r="J126" i="1"/>
  <c r="K126" i="1"/>
  <c r="L126" i="1"/>
  <c r="J127" i="1"/>
  <c r="K127" i="1"/>
  <c r="L127" i="1"/>
  <c r="J128" i="1"/>
  <c r="K128" i="1"/>
  <c r="L128" i="1"/>
  <c r="J129" i="1"/>
  <c r="K129" i="1"/>
  <c r="L129" i="1"/>
  <c r="J130" i="1"/>
  <c r="K130" i="1"/>
  <c r="L130" i="1"/>
  <c r="J131" i="1"/>
  <c r="K131" i="1"/>
  <c r="L131" i="1"/>
  <c r="J132" i="1"/>
  <c r="K132" i="1"/>
  <c r="L132" i="1"/>
  <c r="J133" i="1"/>
  <c r="K133" i="1"/>
  <c r="L133" i="1"/>
  <c r="J134" i="1"/>
  <c r="K134" i="1"/>
  <c r="L134" i="1"/>
  <c r="J135" i="1"/>
  <c r="K135" i="1"/>
  <c r="L135" i="1"/>
  <c r="J136" i="1"/>
  <c r="K136" i="1"/>
  <c r="L136" i="1"/>
  <c r="J137" i="1"/>
  <c r="K137" i="1"/>
  <c r="L137" i="1"/>
  <c r="J123" i="1"/>
  <c r="K123" i="1"/>
  <c r="L123" i="1"/>
  <c r="J124" i="1"/>
  <c r="K124" i="1"/>
  <c r="L124" i="1"/>
  <c r="J119" i="1"/>
  <c r="K119" i="1"/>
  <c r="L119" i="1"/>
  <c r="J120" i="1"/>
  <c r="K120" i="1"/>
  <c r="L120" i="1"/>
  <c r="J121" i="1"/>
  <c r="K121" i="1"/>
  <c r="L121" i="1"/>
  <c r="J122" i="1"/>
  <c r="K122" i="1"/>
  <c r="L122" i="1"/>
  <c r="J107" i="1"/>
  <c r="K107" i="1"/>
  <c r="L107" i="1"/>
  <c r="J108" i="1"/>
  <c r="K108" i="1"/>
  <c r="L108" i="1"/>
  <c r="J109" i="1"/>
  <c r="K109" i="1"/>
  <c r="L109" i="1"/>
  <c r="J110" i="1"/>
  <c r="K110" i="1"/>
  <c r="L110" i="1"/>
  <c r="J111" i="1"/>
  <c r="K111" i="1"/>
  <c r="L111" i="1"/>
  <c r="J112" i="1"/>
  <c r="K112" i="1"/>
  <c r="L112" i="1"/>
  <c r="J113" i="1"/>
  <c r="K113" i="1"/>
  <c r="L113" i="1"/>
  <c r="J114" i="1"/>
  <c r="K114" i="1"/>
  <c r="L114" i="1"/>
  <c r="J115" i="1"/>
  <c r="K115" i="1"/>
  <c r="L115" i="1"/>
  <c r="J116" i="1"/>
  <c r="K116" i="1"/>
  <c r="L116" i="1"/>
  <c r="J117" i="1"/>
  <c r="K117" i="1"/>
  <c r="L117" i="1"/>
  <c r="J118" i="1"/>
  <c r="K118" i="1"/>
  <c r="L118" i="1"/>
  <c r="J105" i="1"/>
  <c r="K105" i="1"/>
  <c r="L105" i="1"/>
  <c r="J106" i="1"/>
  <c r="K106" i="1"/>
  <c r="L106" i="1"/>
  <c r="J99" i="1"/>
  <c r="K99" i="1"/>
  <c r="L99" i="1"/>
  <c r="J100" i="1"/>
  <c r="K100" i="1"/>
  <c r="L100" i="1"/>
  <c r="J101" i="1"/>
  <c r="K101" i="1"/>
  <c r="L101" i="1"/>
  <c r="J102" i="1"/>
  <c r="K102" i="1"/>
  <c r="L102" i="1"/>
  <c r="J103" i="1"/>
  <c r="K103" i="1"/>
  <c r="L103" i="1"/>
  <c r="J104" i="1"/>
  <c r="K104" i="1"/>
  <c r="L104" i="1"/>
  <c r="J92" i="1"/>
  <c r="K92" i="1"/>
  <c r="L92" i="1"/>
  <c r="J93" i="1"/>
  <c r="K93" i="1"/>
  <c r="L93" i="1"/>
  <c r="J94" i="1"/>
  <c r="K94" i="1"/>
  <c r="L94" i="1"/>
  <c r="J95" i="1"/>
  <c r="K95" i="1"/>
  <c r="L95" i="1"/>
  <c r="J96" i="1"/>
  <c r="K96" i="1"/>
  <c r="L96" i="1"/>
  <c r="J97" i="1"/>
  <c r="K97" i="1"/>
  <c r="L97" i="1"/>
  <c r="J98" i="1"/>
  <c r="K98" i="1"/>
  <c r="L98" i="1"/>
  <c r="J79" i="1"/>
  <c r="K79" i="1"/>
  <c r="L79" i="1"/>
  <c r="J80" i="1"/>
  <c r="K80" i="1"/>
  <c r="L80" i="1"/>
  <c r="J81" i="1"/>
  <c r="K81" i="1"/>
  <c r="L81" i="1"/>
  <c r="J82" i="1"/>
  <c r="K82" i="1"/>
  <c r="L82" i="1"/>
  <c r="J83" i="1"/>
  <c r="K83" i="1"/>
  <c r="L83" i="1"/>
  <c r="J84" i="1"/>
  <c r="K84" i="1"/>
  <c r="L84" i="1"/>
  <c r="J85" i="1"/>
  <c r="K85" i="1"/>
  <c r="L85" i="1"/>
  <c r="J86" i="1"/>
  <c r="K86" i="1"/>
  <c r="L86" i="1"/>
  <c r="J87" i="1"/>
  <c r="K87" i="1"/>
  <c r="L87" i="1"/>
  <c r="J88" i="1"/>
  <c r="K88" i="1"/>
  <c r="L88" i="1"/>
  <c r="J89" i="1"/>
  <c r="K89" i="1"/>
  <c r="L89" i="1"/>
  <c r="J90" i="1"/>
  <c r="K90" i="1"/>
  <c r="L90" i="1"/>
  <c r="J91" i="1"/>
  <c r="K91" i="1"/>
  <c r="L91" i="1"/>
  <c r="J63" i="1"/>
  <c r="K63" i="1"/>
  <c r="L63" i="1"/>
  <c r="J64" i="1"/>
  <c r="K64" i="1"/>
  <c r="L64" i="1"/>
  <c r="J65" i="1"/>
  <c r="K65" i="1"/>
  <c r="L65" i="1"/>
  <c r="J66" i="1"/>
  <c r="K66" i="1"/>
  <c r="L66" i="1"/>
  <c r="J67" i="1"/>
  <c r="K67" i="1"/>
  <c r="L67" i="1"/>
  <c r="J68" i="1"/>
  <c r="K68" i="1"/>
  <c r="L68" i="1"/>
  <c r="J69" i="1"/>
  <c r="K69" i="1"/>
  <c r="L69" i="1"/>
  <c r="J70" i="1"/>
  <c r="K70" i="1"/>
  <c r="L70" i="1"/>
  <c r="J71" i="1"/>
  <c r="K71" i="1"/>
  <c r="L71" i="1"/>
  <c r="J72" i="1"/>
  <c r="K72" i="1"/>
  <c r="L72" i="1"/>
  <c r="J73" i="1"/>
  <c r="K73" i="1"/>
  <c r="L73" i="1"/>
  <c r="J74" i="1"/>
  <c r="K74" i="1"/>
  <c r="L74" i="1"/>
  <c r="J75" i="1"/>
  <c r="K75" i="1"/>
  <c r="L75" i="1"/>
  <c r="J76" i="1"/>
  <c r="K76" i="1"/>
  <c r="L76" i="1"/>
  <c r="J77" i="1"/>
  <c r="K77" i="1"/>
  <c r="L77" i="1"/>
  <c r="J78" i="1"/>
  <c r="K78" i="1"/>
  <c r="L78" i="1"/>
  <c r="J55" i="1"/>
  <c r="K55" i="1"/>
  <c r="L55" i="1"/>
  <c r="J56" i="1"/>
  <c r="K56" i="1"/>
  <c r="L56" i="1"/>
  <c r="J57" i="1"/>
  <c r="K57" i="1"/>
  <c r="L57" i="1"/>
  <c r="J58" i="1"/>
  <c r="K58" i="1"/>
  <c r="L58" i="1"/>
  <c r="J59" i="1"/>
  <c r="K59" i="1"/>
  <c r="L59" i="1"/>
  <c r="J60" i="1"/>
  <c r="K60" i="1"/>
  <c r="L60" i="1"/>
  <c r="J61" i="1"/>
  <c r="K61" i="1"/>
  <c r="L61" i="1"/>
  <c r="J62" i="1"/>
  <c r="K62" i="1"/>
  <c r="L62" i="1"/>
  <c r="J41" i="1"/>
  <c r="K41" i="1"/>
  <c r="L41" i="1"/>
  <c r="J42" i="1"/>
  <c r="K42" i="1"/>
  <c r="L42" i="1"/>
  <c r="J43" i="1"/>
  <c r="K43" i="1"/>
  <c r="L43" i="1"/>
  <c r="J44" i="1"/>
  <c r="K44" i="1"/>
  <c r="L44" i="1"/>
  <c r="J45" i="1"/>
  <c r="K45" i="1"/>
  <c r="L45" i="1"/>
  <c r="J46" i="1"/>
  <c r="K46" i="1"/>
  <c r="L46" i="1"/>
  <c r="J47" i="1"/>
  <c r="K47" i="1"/>
  <c r="L47" i="1"/>
  <c r="J48" i="1"/>
  <c r="K48" i="1"/>
  <c r="L48" i="1"/>
  <c r="J49" i="1"/>
  <c r="K49" i="1"/>
  <c r="L49" i="1"/>
  <c r="J50" i="1"/>
  <c r="K50" i="1"/>
  <c r="L50" i="1"/>
  <c r="J51" i="1"/>
  <c r="K51" i="1"/>
  <c r="L51" i="1"/>
  <c r="J52" i="1"/>
  <c r="K52" i="1"/>
  <c r="L52" i="1"/>
  <c r="J53" i="1"/>
  <c r="K53" i="1"/>
  <c r="L53" i="1"/>
  <c r="J54" i="1"/>
  <c r="K54" i="1"/>
  <c r="L54" i="1"/>
  <c r="J31" i="1"/>
  <c r="K31" i="1"/>
  <c r="L31" i="1"/>
  <c r="J32" i="1"/>
  <c r="K32" i="1"/>
  <c r="L32" i="1"/>
  <c r="J33" i="1"/>
  <c r="K33" i="1"/>
  <c r="L33" i="1"/>
  <c r="J34" i="1"/>
  <c r="K34" i="1"/>
  <c r="L34" i="1"/>
  <c r="J35" i="1"/>
  <c r="K35" i="1"/>
  <c r="L35" i="1"/>
  <c r="J36" i="1"/>
  <c r="K36" i="1"/>
  <c r="L36" i="1"/>
  <c r="J37" i="1"/>
  <c r="K37" i="1"/>
  <c r="L37" i="1"/>
  <c r="J38" i="1"/>
  <c r="K38" i="1"/>
  <c r="L38" i="1"/>
  <c r="J39" i="1"/>
  <c r="K39" i="1"/>
  <c r="L39" i="1"/>
  <c r="J40" i="1"/>
  <c r="K40" i="1"/>
  <c r="L40" i="1"/>
  <c r="J27" i="1"/>
  <c r="K27" i="1"/>
  <c r="L27" i="1"/>
  <c r="J28" i="1"/>
  <c r="K28" i="1"/>
  <c r="L28" i="1"/>
  <c r="J29" i="1"/>
  <c r="K29" i="1"/>
  <c r="L29" i="1"/>
  <c r="J30" i="1"/>
  <c r="K30" i="1"/>
  <c r="L30" i="1"/>
  <c r="J26" i="1"/>
  <c r="K26" i="1"/>
  <c r="L26" i="1"/>
  <c r="J25" i="1"/>
  <c r="K25" i="1"/>
  <c r="L25" i="1"/>
  <c r="J24" i="1"/>
  <c r="K24" i="1"/>
  <c r="L24" i="1"/>
  <c r="J22" i="1"/>
  <c r="K22" i="1"/>
  <c r="L22" i="1"/>
  <c r="J23" i="1"/>
  <c r="K23" i="1"/>
  <c r="L23" i="1"/>
  <c r="J19" i="1"/>
  <c r="K19" i="1"/>
  <c r="L19" i="1"/>
  <c r="J20" i="1"/>
  <c r="K20" i="1"/>
  <c r="L20" i="1"/>
  <c r="J21" i="1"/>
  <c r="K21" i="1"/>
  <c r="L21" i="1"/>
  <c r="J18" i="1"/>
  <c r="K18" i="1"/>
  <c r="L18" i="1"/>
  <c r="J13" i="1"/>
  <c r="K13" i="1"/>
  <c r="L13" i="1"/>
  <c r="J14" i="1"/>
  <c r="K14" i="1"/>
  <c r="L14" i="1"/>
  <c r="J15" i="1"/>
  <c r="K15" i="1"/>
  <c r="L15" i="1"/>
  <c r="J16" i="1"/>
  <c r="K16" i="1"/>
  <c r="L16" i="1"/>
  <c r="J17" i="1"/>
  <c r="K17" i="1"/>
  <c r="L17" i="1"/>
  <c r="J3" i="1"/>
  <c r="K3" i="1"/>
  <c r="L3" i="1"/>
  <c r="J4" i="1"/>
  <c r="K4" i="1"/>
  <c r="L4" i="1"/>
  <c r="J5" i="1"/>
  <c r="K5" i="1"/>
  <c r="L5" i="1"/>
  <c r="J6" i="1"/>
  <c r="K6" i="1"/>
  <c r="L6" i="1"/>
  <c r="J7" i="1"/>
  <c r="K7" i="1"/>
  <c r="L7" i="1"/>
  <c r="J8" i="1"/>
  <c r="K8" i="1"/>
  <c r="L8" i="1"/>
  <c r="J9" i="1"/>
  <c r="K9" i="1"/>
  <c r="L9" i="1"/>
  <c r="J10" i="1"/>
  <c r="K10" i="1"/>
  <c r="L10" i="1"/>
  <c r="J11" i="1"/>
  <c r="K11" i="1"/>
  <c r="L11" i="1"/>
  <c r="J12" i="1"/>
  <c r="K12" i="1"/>
  <c r="L12" i="1"/>
  <c r="L2" i="1"/>
  <c r="J2" i="1"/>
  <c r="K2" i="1"/>
</calcChain>
</file>

<file path=xl/sharedStrings.xml><?xml version="1.0" encoding="utf-8"?>
<sst xmlns="http://schemas.openxmlformats.org/spreadsheetml/2006/main" count="5906" uniqueCount="1166">
  <si>
    <t>№п/п</t>
  </si>
  <si>
    <t>ФИО</t>
  </si>
  <si>
    <t>Группа</t>
  </si>
  <si>
    <t>Тема</t>
  </si>
  <si>
    <t>Руководитель</t>
  </si>
  <si>
    <t>Консультант</t>
  </si>
  <si>
    <t>Амурский Василий Андреевич</t>
  </si>
  <si>
    <t>Распределенная микросервисная система планирования технического обслуживания воздушных судов с использованием Go и C++</t>
  </si>
  <si>
    <t>Булакина Мария Борисовна, Кандидат технических наук, Доцент, Доцент каф. 806</t>
  </si>
  <si>
    <t>Боташев Анзор Робертович</t>
  </si>
  <si>
    <t>Асинхронный персистентный обработчик задач в распределенных системах</t>
  </si>
  <si>
    <t>Киндинова Виктория Валерьевна, Кандидат технических наук, Доцент каф. 806</t>
  </si>
  <si>
    <t>Воробьева Карина Николаевна</t>
  </si>
  <si>
    <t>Интеграция модели удаления облаков в производственный пайплайн обработки спутниковых данных</t>
  </si>
  <si>
    <t>Ворошилов Кирилл Сергеевич</t>
  </si>
  <si>
    <t>Применение методов машинного обучения для анализа временных рядов на основе рекуррентных нейронных сетей и трансформеров</t>
  </si>
  <si>
    <t>Судаков Владимир Анатольевич, Кандидат технических наук, Доцент, Профессор каф. 806</t>
  </si>
  <si>
    <t>Голов Александр Юрьевич</t>
  </si>
  <si>
    <t>Анализ средств и методов параллельных вычислений в гетерогенных средах</t>
  </si>
  <si>
    <t>Гришин Павел Федорович</t>
  </si>
  <si>
    <t>Система мониторинга и анализа клиентского поведения для улучшения удобства использования веб-приложения</t>
  </si>
  <si>
    <t>Знай Артемий Олегович</t>
  </si>
  <si>
    <t>Веб-приложение для решения задач смешано-целочисленного линейного программирования</t>
  </si>
  <si>
    <t>Кирилин Иван Олегович</t>
  </si>
  <si>
    <t>Интеграция алгоритмических стратегий в высокочастотную торговую систему на основе API криптобирж</t>
  </si>
  <si>
    <t>Борисов Август Валерьевич, Старший преподаватель каф. 806</t>
  </si>
  <si>
    <t>Зайцев Валентин Евгеньевич, Кандидат физико-математических наук, Доцент, Доцент каф. 806</t>
  </si>
  <si>
    <t>Копылов Михаил Юрьевич</t>
  </si>
  <si>
    <t>Технология выделения именованных сущностей в тексте</t>
  </si>
  <si>
    <t>Сошников Дмитрий Валерьевич, кандидат физико-математических наук, доцент, доцент каф. 806</t>
  </si>
  <si>
    <t>Кубраков Дмитрий Владимирович, инженер лаборатории ПИШ "Автономные робототехнические комплексы" (ЛАРТК)</t>
  </si>
  <si>
    <t>Люгге Томас Валерьевич</t>
  </si>
  <si>
    <t>Применение методов процедурной генерации для создания карт игровых уровней</t>
  </si>
  <si>
    <t>Сошников Дмитрий Валерьевич, кандидат.физико-математических наук, доцент, доцент каф. 806</t>
  </si>
  <si>
    <t>Меджидли Исмаил Ибрагим оглы</t>
  </si>
  <si>
    <t>Информационная система для хранения и анализа данных о городской инфраструктуре</t>
  </si>
  <si>
    <t>Миргородский Даниэл Эрикович</t>
  </si>
  <si>
    <t>Численное моделирование быстропротекающих процессов газовой динамики </t>
  </si>
  <si>
    <t>Гидаспов Владимир Юрьевич, доктор физико-математических наук, профессор, профессор каф. 806</t>
  </si>
  <si>
    <t>Режепа Егор Владимирович</t>
  </si>
  <si>
    <t>Удаление шумов и восстановление изображений с помощью методов фильтрации.</t>
  </si>
  <si>
    <t>Крылов Сергей Сергеевич, кандидат физико-математических наук, доцент, зав. кафедрой 806</t>
  </si>
  <si>
    <t>Рокотянский Александр Евгеньевич</t>
  </si>
  <si>
    <t>IT-система асинхронной обработки потока задач</t>
  </si>
  <si>
    <t>Рудаков Никита Алексеевич</t>
  </si>
  <si>
    <t>Разработка и интеграция систем “Заказ - Обработка заказа – Завершение” при помощи микросервисной архитектуры</t>
  </si>
  <si>
    <t>Кузнецова Светлана Валентиновна, Кандидат физико-математических наук, Доцент, Доцент каф. 806</t>
  </si>
  <si>
    <t>Румынина Екатерина Александровна</t>
  </si>
  <si>
    <t>Информационная система для управления спрос-ориентированной сетью поставок</t>
  </si>
  <si>
    <t>Селивёрстов Дмитрий Сергеевич</t>
  </si>
  <si>
    <t>Сираков Дмитрий Сергеевич</t>
  </si>
  <si>
    <t>LLM-ассистент на базе RAG для сельскохозяйственной техники</t>
  </si>
  <si>
    <t>Старцев Иван Романович</t>
  </si>
  <si>
    <t>Сервис для дискуссий с элементами геймификации</t>
  </si>
  <si>
    <t>Аносова Наталья Павловна, ст. преподаватель каф. 806</t>
  </si>
  <si>
    <t>Тулин Иван Денисович</t>
  </si>
  <si>
    <t>Экстрактор экспериментальных данных из графического представления</t>
  </si>
  <si>
    <t>Филимонов Николай Николаевич</t>
  </si>
  <si>
    <t>Отказоустойчивый высоконагруженный сервис рекомендаций в банковских приложениях</t>
  </si>
  <si>
    <t>Бахиркин Михаил Васильевич, Кандидат технических наук, Доцент каф. 806</t>
  </si>
  <si>
    <t>Мазаев Артемий Сергеевич, Руководитель направлений: развитие сервисов для запуска приложений и моделей, развитие сервиса AI Агентов, развитие сервиса RAG, развитие сервиса Foundation Models Cloud.ru</t>
  </si>
  <si>
    <t>Чирикова Полина Сергеевна</t>
  </si>
  <si>
    <t>StreamHouse - корпоративное хранилище данных на основе streaming processing</t>
  </si>
  <si>
    <t>Шукайло Екатерина Алексеевна</t>
  </si>
  <si>
    <t>Нейросетевая модель трекинга объектов в видео потоке БЛА с использованием инфракрасного канала</t>
  </si>
  <si>
    <t>Яруллин Арсен Рустемович</t>
  </si>
  <si>
    <t>Формирование конечно-элементных моделей напряженно-деформированного состояния отвердевающих сплошных сред на основе контрольно-объемного решения задачи о течении на языке С++</t>
  </si>
  <si>
    <t>Абдуллаев Егор Низамиевич</t>
  </si>
  <si>
    <t>Ахатов Тимур Ильдарович</t>
  </si>
  <si>
    <t>Программное обеспечение аналитики и торговли на электронных биржах криптовалют</t>
  </si>
  <si>
    <t>Беспалов Вячеслав Алексеевич</t>
  </si>
  <si>
    <t>Решение задачи машрутизации на улично-дорожной сети методами машинного обучения с подкреплением</t>
  </si>
  <si>
    <t>Волошинская Евгения Владимировна</t>
  </si>
  <si>
    <t>Android-приложение для поддержания здоровых отношений в парах</t>
  </si>
  <si>
    <t>Ляпина Светлана Юрьевна, доктор экономических наук, профессор</t>
  </si>
  <si>
    <t>Глушин Никита Дмитриевич</t>
  </si>
  <si>
    <t>Деревянко Екатерина Андреевна</t>
  </si>
  <si>
    <t>Применение гибридного имитационного моделирования для оценки пропускной способности станции метро</t>
  </si>
  <si>
    <t>Карнаков Никита Дмитриевич</t>
  </si>
  <si>
    <t>Численное построение детонационной адиабаты газообразных горючих смесей</t>
  </si>
  <si>
    <t>Северина Наталья Сергеевна, Кандидат физико-математических наук, Доцент, Доцент каф. 806</t>
  </si>
  <si>
    <t>Леленков Никита Дмитриевич</t>
  </si>
  <si>
    <t>Технология формирования входных параметров для модели оценки вероятностных потерь в случае дефолта контрагентов</t>
  </si>
  <si>
    <t>Лохматов Никита Игоревич</t>
  </si>
  <si>
    <t>Децентрализованная система идентификации пользователей с использованием распределённого реестра</t>
  </si>
  <si>
    <t>Медведев Кирилл Викторович</t>
  </si>
  <si>
    <t>Desktop приложение для совместного редактирования файлов</t>
  </si>
  <si>
    <t>Мезенин Олег Александрович</t>
  </si>
  <si>
    <t>Проектирование системы переноса и генерации взаимосвязанных данных из производственной среды при тестировании образовательной платформы.</t>
  </si>
  <si>
    <t>Миронов Евгений Сергеевич, ст. преподаватель каф. 806</t>
  </si>
  <si>
    <t>Овчинников Дмитрий Максимович</t>
  </si>
  <si>
    <t>Создание аналитического профиля клиента экосистемы в режиме streaming</t>
  </si>
  <si>
    <t>Ненахов Евгений Валентинович, кандидат физико-математических наук, доцент, доцент каф. 806</t>
  </si>
  <si>
    <t>Озеров Владимир Константинович</t>
  </si>
  <si>
    <t>Прогнозирование эпидемиологической динамики с использованием методов машинного обучения</t>
  </si>
  <si>
    <t>Орусский Вячеслав Русланович</t>
  </si>
  <si>
    <t>Мобильное приложение для зарядки электромобилей</t>
  </si>
  <si>
    <t>Петров Илья Олегович</t>
  </si>
  <si>
    <t>Самсонов Савелий Артёмович</t>
  </si>
  <si>
    <t>Система тестирования и аттестации персонала организации</t>
  </si>
  <si>
    <t>Лукин Владимир Николаевич, кандидат физико-математических наук, доцент, доцент каф. 806</t>
  </si>
  <si>
    <t>Синюков Антон Сергеевич</t>
  </si>
  <si>
    <t>Серверная компонента cистемы потоковой передачи аудиоконтента с применением микросервисной архитектуры</t>
  </si>
  <si>
    <t>Тихонов Евгений Павлович</t>
  </si>
  <si>
    <t>Персональный ассистент для автоматизации управления задачами с использованием искусственного интеллекта</t>
  </si>
  <si>
    <t>Устинов Денис Александрович</t>
  </si>
  <si>
    <t>Морозов Александр Юрьевич, Доктор физико-математических наук, Доцент каф. 806</t>
  </si>
  <si>
    <t>Чапкин Владислав Вячеславович</t>
  </si>
  <si>
    <t>Серверная компонента приложения для управления миграциями в реляционных базах данных.</t>
  </si>
  <si>
    <t>Черевичин Егор Викторович</t>
  </si>
  <si>
    <t>Трассировка и мониторинг микросервисного приложения для бронирования билетов с использованием распределённых транзакций</t>
  </si>
  <si>
    <t>Чистяков Константин Сергеевич</t>
  </si>
  <si>
    <t>Веб-приложение для оптимизации портфеля проектов</t>
  </si>
  <si>
    <t>Шляхтина Илона Игоревна</t>
  </si>
  <si>
    <t>Разработка библиотеки для оптимизации количества коммивояжеров</t>
  </si>
  <si>
    <t>Шуленков Илья Петрович</t>
  </si>
  <si>
    <t>Автоматизированный ETL-потока</t>
  </si>
  <si>
    <t>Боев Савелий Сергеевич</t>
  </si>
  <si>
    <t>Алгоритм очистки космических снимков от облаков</t>
  </si>
  <si>
    <t>Громов Тимофей Сергеевич</t>
  </si>
  <si>
    <t>Система управления дронами для мониторинга сельскохозяйственных полей</t>
  </si>
  <si>
    <t>Ухов Петр Александрович, кандидат технических наук, доцент, доцент каф. 806</t>
  </si>
  <si>
    <t>Дегтярев Денис Андреевич</t>
  </si>
  <si>
    <t>Система отображения оперативной обстановки</t>
  </si>
  <si>
    <t>Денисов Максим Денисович</t>
  </si>
  <si>
    <t>Вычислительная модель для расчета термодинамических свойств метана</t>
  </si>
  <si>
    <t>Друхольский Александр Константинович</t>
  </si>
  <si>
    <t>Дубровин Дмитрий Константинович</t>
  </si>
  <si>
    <t>Численное моделирование взаимодействия двух стационарных плоских сверхзвуковых потоков в газовой смеси</t>
  </si>
  <si>
    <t>Кажекин Денис Андреевич</t>
  </si>
  <si>
    <t>Разработка и исследование нейросетевой модели на основе RoBERTa-Large для классификации интентов в чат-боте банковского приложения</t>
  </si>
  <si>
    <t>Казанцев Данила Игоревич</t>
  </si>
  <si>
    <t>Автоматизация поиска новых заявок ЕИС "Закупки"</t>
  </si>
  <si>
    <t>Крючков Артемий Владимирович</t>
  </si>
  <si>
    <t>Система для проведения онлайн соревнований по программированию</t>
  </si>
  <si>
    <t>Литовченко Анна Александровна</t>
  </si>
  <si>
    <t>Автоматизированная система учета деятельности объектов по заданным критериям</t>
  </si>
  <si>
    <t>Третьякова Ольга Николаевна, Кандидат физико-математических наук, Доцент, Доцент каф. 802</t>
  </si>
  <si>
    <t>Лютоев Илья Александрович</t>
  </si>
  <si>
    <t>Параллельные алгоритмы интерполяции на основе разреженных сеток.</t>
  </si>
  <si>
    <t>Марченко Алексей Эдуардович</t>
  </si>
  <si>
    <t>Влияние шума (ошибок) в аннотациях на качество обучения моделей машинного обучения</t>
  </si>
  <si>
    <t>Матвеев Данил Евгеньевич</t>
  </si>
  <si>
    <t>Рыбалко Алексей Алексеевич, менеджер по предпродажной поддержке в Лаборатории Касперского</t>
  </si>
  <si>
    <t>Меркулов Фёдор Алексеевич</t>
  </si>
  <si>
    <t>Построение бинарных классификаторов с использованием спектральных преобразований и вейвлет-анализа</t>
  </si>
  <si>
    <t>Ревизников Дмитрий Леонидович, доктор физико-математических наук, профессор, профессор каф. 806</t>
  </si>
  <si>
    <t>Мусаелян Ярослав Александрович</t>
  </si>
  <si>
    <t>Применение нейронных дифференциальных уравнений для анализа динамических систем</t>
  </si>
  <si>
    <t>Павлов Иван Дмитриевич</t>
  </si>
  <si>
    <t>Веб-сервис для текстового и голосового общения на основе протоколов WebSocket и VoIP</t>
  </si>
  <si>
    <t>Филимонов Николай Сергеевич, ст. преподаватель каф. 806</t>
  </si>
  <si>
    <t>Пирогов Марк Дмитриевич</t>
  </si>
  <si>
    <t>Решение задачи планирования методами машинного обучения с подкреплением</t>
  </si>
  <si>
    <t>Путилин Дмитрий Николаевич</t>
  </si>
  <si>
    <t>Нейросетевые алгоритмы решения уравнений математической физики</t>
  </si>
  <si>
    <t>Рылов Александр Дмитриевич</t>
  </si>
  <si>
    <t>Веб-сайт для обучения переводу текстов на английский язык</t>
  </si>
  <si>
    <t>Савинова Екатерина Ильинична</t>
  </si>
  <si>
    <t>Применение метрик качества для оценки пользовательского интерфейса в образовательных приложениях для детей</t>
  </si>
  <si>
    <t>Смирнов Артём Викторович</t>
  </si>
  <si>
    <t>Эмуляция электросхем с использованием технологии Wave Digital Filters</t>
  </si>
  <si>
    <t>Соколов Арсений Игоревич</t>
  </si>
  <si>
    <t>Графовые нейронные сети в задачах анализа энергетических потоков в действующих ветропарках</t>
  </si>
  <si>
    <t>Стрижак Сергей Владимирович, Кандидат технических наук, Доцент каф. 806</t>
  </si>
  <si>
    <t>Ткаченко Егор Юрьевич</t>
  </si>
  <si>
    <t>Модернизация бэкенда маркетплейса: переход на микро-сервисную архитектуру с с использованием API Gateway</t>
  </si>
  <si>
    <t>Хомяков Иван Андреевич</t>
  </si>
  <si>
    <t>Применение алгоритма "многорукий бандит" в масштабируемой системе ранжирования с микросервисной архитектурой</t>
  </si>
  <si>
    <t>Шумилова Александра Алексеевна</t>
  </si>
  <si>
    <t>UX/UI интерфейс для управления аппаратом искусственной вентиляции легких в реальном времени</t>
  </si>
  <si>
    <t>Абдувохидов Эльдар Абдурахмонович</t>
  </si>
  <si>
    <t>Микрофронтенд как паттерн проектирования и его разработка на Go</t>
  </si>
  <si>
    <t>Армишев Кирилл Константинович</t>
  </si>
  <si>
    <t>Автоматизированная система удалённого тестирования и сопровождения информационных систем в аварийных ситуациях</t>
  </si>
  <si>
    <t>Белоносов Кирилл Алексеевич</t>
  </si>
  <si>
    <t>Создание декларативного языка для контроля качества архитектурных моделей</t>
  </si>
  <si>
    <t>Дзюба Дмитрий Владимирович, ст. преподаватель каф. 806</t>
  </si>
  <si>
    <t>Белоусов Егор Леонидович</t>
  </si>
  <si>
    <t>Разработка библиотеки параллельных алгоритмов сжатия данных</t>
  </si>
  <si>
    <t>Гришин Алексей Юрьевич</t>
  </si>
  <si>
    <t>Создание механизма управления архитектурными шаблонами для моделей в Structurizr DSL</t>
  </si>
  <si>
    <t>Захаров Василий Анатольевич</t>
  </si>
  <si>
    <t>Автоматизированный анализ рифмовок в русскоязычных текстах: тенденции и жанровые различия</t>
  </si>
  <si>
    <t>Злобина Валерия Вадимовна</t>
  </si>
  <si>
    <t>Численное моделирование процесса подавления детонации в газовых смесях</t>
  </si>
  <si>
    <t>Иванов Евгений Дмитриевич</t>
  </si>
  <si>
    <t>Численное моделирование конденсации паров воды в расширяющемся канале</t>
  </si>
  <si>
    <t>Северина Наталья Сергеевна, Кандидат.физико-математических наук, Доцент, Доцент каф. 806</t>
  </si>
  <si>
    <t>Королев Илья Сергеевич</t>
  </si>
  <si>
    <t>Методы машинного обучения и глубокие нейронные сети в задачах предсказания выброса вредных эмиссий на тепловых электростанциях</t>
  </si>
  <si>
    <t>Марков Илья Игоревич</t>
  </si>
  <si>
    <t>Оптимизация производительности веб-приложений с использованием микрофронтендов</t>
  </si>
  <si>
    <t>Никулин Кристиан Ильич</t>
  </si>
  <si>
    <t>Графическая платформа для миграций баз данных</t>
  </si>
  <si>
    <t>Ползикова Алина Владимировна</t>
  </si>
  <si>
    <t>Система техрадара для выбора технологий в процессе разработки ПО</t>
  </si>
  <si>
    <t>Попов Николай Александрович</t>
  </si>
  <si>
    <t>Микросервисное приложение для объединения различных облачных хранилищ и в единую файловую систему</t>
  </si>
  <si>
    <t>Сеимов Максим Сергеевич</t>
  </si>
  <si>
    <t>Приём и обработка сигналов от различных цифровых и аналоговых датчиков на платформе "physical computing" с открытым программным кодом</t>
  </si>
  <si>
    <t>Филиппов Глеб Сергеевич, Доктор технических наук, Профессор каф. 806</t>
  </si>
  <si>
    <t>Слонов Алексей Дмитриевич</t>
  </si>
  <si>
    <t>Система контроля целостности и связей в графовой базе данных</t>
  </si>
  <si>
    <t>Стенин Константин Алексеевич</t>
  </si>
  <si>
    <t>Методы машинного обучения в подготовке поверхностных сеток для задач CFD</t>
  </si>
  <si>
    <t>Суляева Алина Игоревна</t>
  </si>
  <si>
    <t>Модуль конфигурирования имитационных моделей виртуального полигона для БАС</t>
  </si>
  <si>
    <t>Вишняков Борис Ваисович, Кандидат физико-математических наук, Доцент каф. 806</t>
  </si>
  <si>
    <t>Чеснов Илья Игоревич</t>
  </si>
  <si>
    <t>Чубуков Андрей Владимирович</t>
  </si>
  <si>
    <t>Система кэширования с целью оптимизации работы с бд</t>
  </si>
  <si>
    <t>Шангин Даниил Денисович</t>
  </si>
  <si>
    <t>Сервис анализа быстроменяющихся и медленноменяющихся параметров ракетных двигателей</t>
  </si>
  <si>
    <t>Шапошник Никита Сергеевич</t>
  </si>
  <si>
    <t>Анализ вычислительных алгоритмов решения уравнений с дробными производными</t>
  </si>
  <si>
    <t>Шевлякова София Сергеевна</t>
  </si>
  <si>
    <t>Веб-сервис решения задачи нескольких коммивояжеров</t>
  </si>
  <si>
    <t>Агеева Алиса Ивановна</t>
  </si>
  <si>
    <t>Алгоритмы анализа и сбора исторических данных по авиаперевозкам</t>
  </si>
  <si>
    <t>Моделирование двухфазных течений в стационарной волне детонации.</t>
  </si>
  <si>
    <t>Москаленко Ольга Александровна, Кандидат физико-математических наук, Доцент каф. 806</t>
  </si>
  <si>
    <t>Барсуков Егор Алексеевич</t>
  </si>
  <si>
    <t>Система динамического ценообразования товаров на маркетплейсах с возможностью адаптивного изменения цен на основании анализа конкурентной среды</t>
  </si>
  <si>
    <t>Чернова Татьяна Александровна, доктор технических наук, доцент, профессор каф. 806</t>
  </si>
  <si>
    <t>Елистратова Полина Александровна</t>
  </si>
  <si>
    <t>Улучшение алгоритма автономной навигации за счёт использования нейросетей для выделения ключевых точек</t>
  </si>
  <si>
    <t>Желанов Даниил Вячеславович</t>
  </si>
  <si>
    <t>Веб-сервис для поиска работы с использованием модели коллаборативной фильтрации</t>
  </si>
  <si>
    <t>Журавлев Кирилл Игоревич</t>
  </si>
  <si>
    <t>Численное моделирование двумерных стационарных сверхзвуковых течений в расширяющемся канале сеточно-характеристическим методом</t>
  </si>
  <si>
    <t>Журкин Александр Андреевич</t>
  </si>
  <si>
    <t>Задача составления контрольной выборки с применением методов машинного обучения</t>
  </si>
  <si>
    <t>Левинская Мария Александровна, кандидат физико-математических наук, доцент, доцент каф. 806</t>
  </si>
  <si>
    <t>Катаев Юрий Игоревич</t>
  </si>
  <si>
    <t>Катин Иван Вячеславович</t>
  </si>
  <si>
    <t>Конвертация сессии Платежной формы Т-Банка в уникальных пользователей.</t>
  </si>
  <si>
    <t>Кудрин Ярослав Владимирович</t>
  </si>
  <si>
    <t>Кузнецов Мстислав Вячеславович</t>
  </si>
  <si>
    <t>Разработка технологии поиска связей между именованными сущностями в тексте</t>
  </si>
  <si>
    <t>Куликова Анастасия Андреевна</t>
  </si>
  <si>
    <t>Рекомендательная система подбора владельцев собакам из приюта</t>
  </si>
  <si>
    <t>Личковаха Алексей Сергеевич</t>
  </si>
  <si>
    <t>Конструктор умного дома</t>
  </si>
  <si>
    <t>Малышев Назим Бахтиярович</t>
  </si>
  <si>
    <t>Сервис для управления секретами и привилегированным доступом со сквозным шифрованием</t>
  </si>
  <si>
    <t>Минеева Светлана Алексеевна</t>
  </si>
  <si>
    <t>Система для верификации цифровых схем с применением фреймворков cocotb и PyUVM.</t>
  </si>
  <si>
    <t>Алексей Леонидович Маркин, Инженер ключевых проектов, ООО «Техкомпания Хуавей»</t>
  </si>
  <si>
    <t>Павловский Алексей Валерьевич</t>
  </si>
  <si>
    <t>Численные методы оптимизации для решения инженерных задач</t>
  </si>
  <si>
    <t>Демидова Ольга Львовна, Кандидат физико-математических наук, Доцент, Доцент каф. 806</t>
  </si>
  <si>
    <t>Плюшкин Максим Игоревич</t>
  </si>
  <si>
    <t>Эффективный алгоритм сжатия структурированных бинарных данных блокчейн­сети TON</t>
  </si>
  <si>
    <t>Романовцев Дмитрий Алексеевич</t>
  </si>
  <si>
    <t>Онлайн сервис для создания и записи барабанных партий</t>
  </si>
  <si>
    <t>Русаков Александр Владиславович</t>
  </si>
  <si>
    <t>Разработка программы на языке С++ для моделирования лучистого теплообмена между поверхностями произвольной кривизны и излучательной способности с заданной детализацией спектра</t>
  </si>
  <si>
    <t>Февральских Андрей Владимирович, кандидат физико-математических наук, доцент каф. 806</t>
  </si>
  <si>
    <t>Фадеев Денис Вадимович</t>
  </si>
  <si>
    <t>Реализация шлюза сообщений для облачной технологии 1С:Предприятие.Элемент.</t>
  </si>
  <si>
    <t>Харченко Владимир Максимович</t>
  </si>
  <si>
    <t>Система тестирования студентов с автоматической проверкой заданий по физико-математическим дисциплинам и программированию</t>
  </si>
  <si>
    <t>Цыкин Павел Андреевич</t>
  </si>
  <si>
    <t>Авдиянц Петр Станиславович</t>
  </si>
  <si>
    <t>Приложение для поиска заданной последовательности данных в аудиопотоке</t>
  </si>
  <si>
    <t>Романенков Александр Михайлович, кандидат технических наук, старший научный сотрудник, доцент каф. 806</t>
  </si>
  <si>
    <t>Барабанов Клим Александрович</t>
  </si>
  <si>
    <t>Организация массовых автоматизированных рассылок корпоративной почты для использования в бизнес-процессе</t>
  </si>
  <si>
    <t>Бобович Андрей Павлович</t>
  </si>
  <si>
    <t>Определение аэродинамических характеристик тел вращения в высокоскоростном потоке с использованием средств компьютерного моделирования</t>
  </si>
  <si>
    <t>Харченко Николай Анатольевич, Кандидат физико-математических наук, Доцент каф. 806</t>
  </si>
  <si>
    <t>Боровитин Михаил Игоревич</t>
  </si>
  <si>
    <t>Брайнингер Рудольф Ильич</t>
  </si>
  <si>
    <t>Численное решение задачи определения области ламинарно-турбуленого-перехода на острой платине в сврехзвуковом потоке.</t>
  </si>
  <si>
    <t>Горщенко Денис Витальевич</t>
  </si>
  <si>
    <t>Долгов Сергей Алексеевич</t>
  </si>
  <si>
    <t>Мобильное приложение для отслеживания личных финансов на Kotlin для Android</t>
  </si>
  <si>
    <t>Доморощенов Александр Сергеевич</t>
  </si>
  <si>
    <t>Приложение для факторизации натурального числа с использованием частичной информации о сопряжённой величине</t>
  </si>
  <si>
    <t>Жураев Донишиддин Салохитдинович</t>
  </si>
  <si>
    <t>Безопасность при разработке кода: хранение секретов</t>
  </si>
  <si>
    <t>Злобин Владимир Олегович</t>
  </si>
  <si>
    <t>Решение модельной задачи о колебаниях закрепленного вязко-упругого полотна</t>
  </si>
  <si>
    <t>Касьянова Яна Станиславовна</t>
  </si>
  <si>
    <t>Автоматизация распределения нагрузки на производстве вентиляционных систем</t>
  </si>
  <si>
    <t>Малахов Александр Владимирович, Старший инженер по управлению системами данных ECOM.tech</t>
  </si>
  <si>
    <t>Мингазова Дина Ильфатовна</t>
  </si>
  <si>
    <t>Система сбора, хранения и обработки данных о деятельности аспирантов</t>
  </si>
  <si>
    <t>Сарафанников Ян Владимирович</t>
  </si>
  <si>
    <t>Платформа потоковой обработки и анализа данных датчиков физических параметров</t>
  </si>
  <si>
    <t>Смирнов Никита Евгеньевич</t>
  </si>
  <si>
    <t>Приложение для анализа живучести транспортных систем.</t>
  </si>
  <si>
    <t>Соломатина Светлана Викторовна</t>
  </si>
  <si>
    <t>Клиент-серверное web-приложения чата с шифрованием и сжатием сообщений</t>
  </si>
  <si>
    <t>Федулов Дмитрий Андреевич</t>
  </si>
  <si>
    <t>Веб-приложение для мониторинга, анализа и прогнозирования расходов транспортных компаний на основе открытых данных</t>
  </si>
  <si>
    <t>Хайдаров Эмиль Дамирович</t>
  </si>
  <si>
    <t>Автоматизированный подбор параметров Java приложения для достижения наибольшей производительности</t>
  </si>
  <si>
    <t>Ненахов Евгений Валентинович, кандидат.физико-математических наук, доцент, доцент каф. 806</t>
  </si>
  <si>
    <t>Хасанов Даниил Рафаилович</t>
  </si>
  <si>
    <t>Анализ методов разрешения коллизий при реализации хэширования</t>
  </si>
  <si>
    <t>Якухин Данила Олегович</t>
  </si>
  <si>
    <t>Программный продукт для мониторинга сетевого трафика и первичного анализа с контролем безопасности</t>
  </si>
  <si>
    <t>Лукин Владимир Николаевич, кандидат 
физико-математических наук, доцент, доцент каф. 806</t>
  </si>
  <si>
    <t>Моделирование и разработка 
веб-сервиса для электронной коммерции</t>
  </si>
  <si>
    <t>Морозов Александр Юрьевич, 
Доктор 
физико-математических наук, Доцент каф. 806</t>
  </si>
  <si>
    <r>
      <rPr>
        <sz val="10"/>
        <color rgb="FF000000"/>
        <rFont val="Arial"/>
        <family val="2"/>
        <charset val="204"/>
      </rPr>
      <t xml:space="preserve">Мазаев Артемий Сергеевич, Руководитель направлений: развитие сервисов для запуска приложений и моделей, развитие сервиса AI Агентов, развитие сервиса RAG, развитие сервиса Foundation Models </t>
    </r>
    <r>
      <rPr>
        <u/>
        <sz val="10"/>
        <color rgb="FF1155CC"/>
        <rFont val="Arial"/>
        <family val="2"/>
        <charset val="204"/>
      </rPr>
      <t>Cloud.ru</t>
    </r>
  </si>
  <si>
    <t>Ненахов Евгений Валентинович, кандидат 
физико-математических наук, доцент, доцент каф. 806</t>
  </si>
  <si>
    <t>Крылов Сергей Сергеевич, кандидат 
физико-математических наук, доцент, зав. кафедрой 806</t>
  </si>
  <si>
    <t>Февральских Андрей Владимирович, кандидат 
физико-математических наук, доцент каф. 806</t>
  </si>
  <si>
    <t>Приложение для поддержки
корректной
последовательности ссылок
в научных публикациях</t>
  </si>
  <si>
    <t>Разработка прокси-модуля 
аутентификации для системы 
управления базами данных PostgreSQL</t>
  </si>
  <si>
    <t>Использование LLM Agent'а как персонального 
ассистента для контроля умного дома</t>
  </si>
  <si>
    <t xml:space="preserve">Программная платформа для обеспечения согласованности клиент-серверных контрактов с помощью технологии WebAssembly при создании веб-приложений
</t>
  </si>
  <si>
    <t>Безопасность микросервисных приложений: построение сети в кластере 
Kubernetes, анализ и защита от угроз</t>
  </si>
  <si>
    <t>Иванов Игорь Эдуардович, Кандидат физико-математических наук, Старший научный сотрудник, Доцент каф. 806</t>
  </si>
  <si>
    <t>Барабанов 
Глеб 
Борисович</t>
  </si>
  <si>
    <t>Создание сервиса автоматической 
отрисовки архитектурных диаграмм 
в нотации C4</t>
  </si>
  <si>
    <t>Сервис обработки и хранения 
исторических данных авиаперевозок</t>
  </si>
  <si>
    <t>Сжатие структурированных бинарных данных блокчейн­-сети TON</t>
  </si>
  <si>
    <t>Решение задач смешанно-целочисленного 
линейного программирования на основе 
микросервисной архитектуры</t>
  </si>
  <si>
    <t>Безопасность при разработке кода: анализ SAST, встраивание проверок до стадии сборки
в конвейере CI/CD</t>
  </si>
  <si>
    <t>Методы генерации ключевого элемента топологического алгоритма
защиты конфиденциальных данных на основе k - однородных гиперграфов</t>
  </si>
  <si>
    <t>Мазаев Артемий Сергеевич, Руководитель направлений: развитие сервисов для запуска приложений и моделей, развитие сервиса AI Агентов, развитие сервиса RAG, развитие сервиса Foundation Models Cloud.ru</t>
  </si>
  <si>
    <r>
      <rPr>
        <sz val="11"/>
        <color theme="1"/>
        <rFont val="Arial"/>
        <family val="2"/>
        <charset val="204"/>
      </rPr>
      <t xml:space="preserve">Мазаев Артемий Сергеевич, Руководитель направлений: развитие сервисов для запуска приложений и моделей, развитие сервиса AI Агентов, развитие сервиса RAG, развитие сервиса Foundation Models </t>
    </r>
    <r>
      <rPr>
        <sz val="11"/>
        <color rgb="FF1155CC"/>
        <rFont val="Arial"/>
        <family val="2"/>
        <charset val="204"/>
      </rPr>
      <t>Cloud.ru</t>
    </r>
  </si>
  <si>
    <t>Автоматизация тестирования инфраструктурных компонент программного продукта</t>
  </si>
  <si>
    <t xml:space="preserve">Исследование применимости
и производительности
гетерогенной реализации
дерева Меркла в операциях
по упрощенной верификации
платежей в блокчейне
</t>
  </si>
  <si>
    <t>Новая тема</t>
  </si>
  <si>
    <t>Новый руководитель</t>
  </si>
  <si>
    <t>Новый консультант</t>
  </si>
  <si>
    <t>Присутствие на предзащите</t>
  </si>
  <si>
    <t>Присутствие на защите</t>
  </si>
  <si>
    <t>Рецензент</t>
  </si>
  <si>
    <t>Количество листов в дипломе</t>
  </si>
  <si>
    <t>Оценка за предзащиту</t>
  </si>
  <si>
    <t>Оценка за защиту</t>
  </si>
  <si>
    <t>Алексеева Екатерина Владиславовна</t>
  </si>
  <si>
    <t>Система прогнозирования изменения границ арктического морского льда на основе мониторинга миграции животных </t>
  </si>
  <si>
    <t>Бирюков Виктор Владимирович</t>
  </si>
  <si>
    <t>Решение задачи многоагентного планирования для взвешенных графов</t>
  </si>
  <si>
    <t>Судаков Владимир Анатольевич, Доктор технических наук, Доцент, Профессор каф. 806</t>
  </si>
  <si>
    <t>Воронов Кирилл Михайлович</t>
  </si>
  <si>
    <t xml:space="preserve">Разработка методики мониторинга действий операторов в процессах формирования и закладки командно-программной информации при управлении космическими аппаратами  </t>
  </si>
  <si>
    <t>Гребенков Дмитрий Игоревич</t>
  </si>
  <si>
    <t>Разработка методов автоматической идентификации терминов в русскоязычных научных публикациях при помощи технологий искусственного интеллекта</t>
  </si>
  <si>
    <t>Лемтюжникова Дарья Владимировна, Кандидат физико-математических наук, доцент каф.806</t>
  </si>
  <si>
    <t>Новиков Никита Андреевич</t>
  </si>
  <si>
    <t>Система обучения новых работников IT-компаний с использованием технологий машинного обучения</t>
  </si>
  <si>
    <t>Гаврилов Максим Сергеевич</t>
  </si>
  <si>
    <t>Разработка алгоритмов автоматической сегментации научных текстов для повышения качества оценки семантической близости</t>
  </si>
  <si>
    <t>Джага Артем Олегович</t>
  </si>
  <si>
    <t>Исследование архитектурных решений для высоконагруженных CRM-продуктов на примере замены OLTP базы данных Oracle Database на Apache CouchDB в travel tech сфере</t>
  </si>
  <si>
    <t>Зорина Анастасия Сергеевна</t>
  </si>
  <si>
    <t>Исследование лучших практик UX/UI дизайна для упрощения сложных aCRM-систем</t>
  </si>
  <si>
    <t>Оскенбаева Айтолы Уланкызы</t>
  </si>
  <si>
    <t>Методы моделирования воздействия вредных выбросов в районе аэропортов</t>
  </si>
  <si>
    <t>Попыкин Артем Владимирович</t>
  </si>
  <si>
    <t>Автоматизированная информационная система интеграции программного обеспечения</t>
  </si>
  <si>
    <t>Садаков Александр Александрович</t>
  </si>
  <si>
    <t>Численное моделирование течения струй газа с неравновесным химическим процессом</t>
  </si>
  <si>
    <t>Смирнов Олег Александрович</t>
  </si>
  <si>
    <t>Количественная оценка выбросов NO_x и CO_2 от российских ТЭЦ по данным спутниковых наблюдений Sentinel-5P за NO_2</t>
  </si>
  <si>
    <t>Стулов Илья Сергеевич</t>
  </si>
  <si>
    <t>Интеграция гауссовских процессов и различных методов машинного обучения для улучшения предсказаний и обработки больших объемов данных</t>
  </si>
  <si>
    <t>Шадай Дарья Евгеньевна</t>
  </si>
  <si>
    <t>Анализ полетных логов методами машинного обучения</t>
  </si>
  <si>
    <t>Алексеев Владислав Евгеньевич</t>
  </si>
  <si>
    <t>Методика проектирования ОС многофункциональных устройств безопасности вычислительных сетей</t>
  </si>
  <si>
    <t>Гундоров Всеволод Сергеевич</t>
  </si>
  <si>
    <t>Онлайн-сервис для психологической самопомощи</t>
  </si>
  <si>
    <t>Ильин Илья Олегович</t>
  </si>
  <si>
    <t>Оптимизация сбора и агрегации технических метрик мобильных приложений с гибкой системой оповещений</t>
  </si>
  <si>
    <t>Круглова Мария Сергеевна</t>
  </si>
  <si>
    <t>Методика автоматизированного анализа компетенций работников и массового назначения обучения</t>
  </si>
  <si>
    <t>Ланин Олег Викторович</t>
  </si>
  <si>
    <t>Проактивный мониторинг инфраструктуры критически важных систем кредитной организации</t>
  </si>
  <si>
    <t>Леонов Михаил Игоревич</t>
  </si>
  <si>
    <t>Автоматизированный сервис бронирования рабочих мест со встроенными аналитическими инструментами оптимизации</t>
  </si>
  <si>
    <t>Лобанов Захар Олегович</t>
  </si>
  <si>
    <t>LLM-система интеллектуальной поддержки приемной кампании</t>
  </si>
  <si>
    <t>Мохляков Павел Александрович</t>
  </si>
  <si>
    <t>Динамическая замена и модификация объектов в видео данных</t>
  </si>
  <si>
    <t>Недосеков Иван Дмитриевич</t>
  </si>
  <si>
    <t>Полюбин Арсений Игоревич</t>
  </si>
  <si>
    <t>Метод автоматизированного определения высоты объектов на спутниковых изображениях в видимом диапазоне спектра</t>
  </si>
  <si>
    <t>Прилепский Андрей Павлович</t>
  </si>
  <si>
    <t>Прозоров Андрей Александрович</t>
  </si>
  <si>
    <t>Система автоматического ранжирования и сравнения профилей научных объектов</t>
  </si>
  <si>
    <t>Кравцова (Филатова) Лада Вячеславовна</t>
  </si>
  <si>
    <t>Модельные решения начально краевых задач для уравнений 4-6 порядков методом матричной прогонки</t>
  </si>
  <si>
    <t>Алимов Исмаил Рифатович</t>
  </si>
  <si>
    <t>Приложение для генерации медиа-контента на основе диффузионных моделей</t>
  </si>
  <si>
    <t>Баклашкин Алексей Андреевич</t>
  </si>
  <si>
    <t>Брежнев Вячеслав Александрович</t>
  </si>
  <si>
    <t>Методика идентификации личности по данным электрокардиограммы в системах управления доступом к информационной инфраструктуре</t>
  </si>
  <si>
    <t>Волков Матвей Андреевич</t>
  </si>
  <si>
    <t>Интеграция визуального языка в систему управления антифрод-правилами: адаптация к существующим банковским процессам</t>
  </si>
  <si>
    <t>Булакина Мария БорисовнаБулакина Мария Борисовна, Кандидат технических наук, Доцент, Доцент каф. 806</t>
  </si>
  <si>
    <t>Дзюба Дмитрий Владимирович, руководитель направления «Архитектура» в ООО«ВымпелКом-ИТ»</t>
  </si>
  <si>
    <t>Гаев Роман Алексеевич</t>
  </si>
  <si>
    <t>Модификация слоёв диффузионных моделей для генерации по заданному контексту</t>
  </si>
  <si>
    <t>Кирьянов Павел Александрович</t>
  </si>
  <si>
    <t>Автоматическое выделение структурных элементов научных публикаций с использованием методов компьютерного зрения и методов машинного обучения</t>
  </si>
  <si>
    <t>Филиппова Алксандра Сергеевна, кандидат физико-математических наук, доцент каф. 806</t>
  </si>
  <si>
    <t>Кравцов Кирилл Егорович</t>
  </si>
  <si>
    <t>Лавренченко Мария Кирилловна</t>
  </si>
  <si>
    <t>Применение трансформерных архитектур для zero-shot классификации изображений</t>
  </si>
  <si>
    <t>Лагуткина Мария Сергеевна</t>
  </si>
  <si>
    <t>Создание приложения для формирования макросов и блоков на основе пользовательских логов в САПР с применением методов машинного обучения</t>
  </si>
  <si>
    <t>Лыгун Кирилл Андреевич</t>
  </si>
  <si>
    <t>Создание интеллектуального голосового помощника для администрирования и мониторинга it-инфраструктуры</t>
  </si>
  <si>
    <t>Орачев Алексей Валерьевич</t>
  </si>
  <si>
    <t>Анализ и обработка задач на корпоративном портале нейросетевыми методами</t>
  </si>
  <si>
    <t>Пешков Максим Юрьевич</t>
  </si>
  <si>
    <t>Метод адаптивного трекинга объектов в дополненной реальности при выполнении технических операций</t>
  </si>
  <si>
    <t>Ильченко Татьяна Евгеньевна, Заместитель директора департамента эксплуатации прикладных систем ПАО "Аэрофлот"</t>
  </si>
  <si>
    <t>Прозоров Евгений Иванович</t>
  </si>
  <si>
    <t>Методика подготовки данных траекторий полётов воздушных судов для моделирования систем управления воздушного движения.</t>
  </si>
  <si>
    <t>Свинаренко Владислав Александрович</t>
  </si>
  <si>
    <t>Технология подготовки датасета для обучения большой языковой модели по извлечению атрибутов из товарных позиций</t>
  </si>
  <si>
    <t>Бажин Сергей Игоревич, Главный аналитик данных Департамента инновационных решений</t>
  </si>
  <si>
    <t>Хренникова Ангелина Сергеевна</t>
  </si>
  <si>
    <t>Методика создания программно-аппаратного комплекса процедурного тренажерного устройства имитации полета</t>
  </si>
  <si>
    <t>Черкасов Егор Юрьевич</t>
  </si>
  <si>
    <t>Калядин Александр Владимирович</t>
  </si>
  <si>
    <t>Копинцу Илона Иосифовна</t>
  </si>
  <si>
    <t>Моделирование фильтрации цезия-137 при помощи методов PINN</t>
  </si>
  <si>
    <t>Кормазова Вероника Олеговна</t>
  </si>
  <si>
    <t>Применение искусственного интеллекта для идентификации эмоций человека в общественных местах</t>
  </si>
  <si>
    <t>Мадатов Эмиль Рафаульевич</t>
  </si>
  <si>
    <t>Применение технологии Retrieval Augmented Generation для эффективного извлечения знаний из аудиозаписей онлайн видеоконференций</t>
  </si>
  <si>
    <t>Минаков Максим Михайлович</t>
  </si>
  <si>
    <t>Применение методов машинного обучения для управления инвестиционным портфелем на Московской бирже</t>
  </si>
  <si>
    <t>Минишев Шамиль Раилевич</t>
  </si>
  <si>
    <t>Ре-идентификация домашних животных с использованием ИИ</t>
  </si>
  <si>
    <t>Одинцов Андрей Владимирович</t>
  </si>
  <si>
    <t>Применение методов машинного обучения при управлении ценностью клиентской базы оператора мобильной связи</t>
  </si>
  <si>
    <t>Пыжов Василий Андреевич</t>
  </si>
  <si>
    <t>Интеллектуальная система поддержки и адаптации новых сотрудников предприятия</t>
  </si>
  <si>
    <t>Саидов Абук Адилевич</t>
  </si>
  <si>
    <t>Оптимизация алгоритмов систем предупреждения столкновений беспилотных воздушных судов с использованием машинного обучения</t>
  </si>
  <si>
    <t>Сафронов Станислав Дмитриевич</t>
  </si>
  <si>
    <t>Инструмент для автоматической разметки трафика мобильного приложения на базе ML-моделей</t>
  </si>
  <si>
    <t>Аминов Степан Сергеевич</t>
  </si>
  <si>
    <t>Идентификация аномалий в гео-данных сигнала мобильного телефона с помощью методов машинного обучения.</t>
  </si>
  <si>
    <t>Артов Андрей Андреевич</t>
  </si>
  <si>
    <t>Генерация аудио по ограниченным обучающим данным</t>
  </si>
  <si>
    <t>Баранов Олег Андреевич</t>
  </si>
  <si>
    <t>Интеллектуальный сервис для подготовки к собеседованиям</t>
  </si>
  <si>
    <t>Булыгин Кирилл Дмитриевич</t>
  </si>
  <si>
    <t>Классификация зашифрованного сетевого трафика для оптимизации использования сетевых ресурсов оператора связи</t>
  </si>
  <si>
    <t>Ветров Владимир Владимирович</t>
  </si>
  <si>
    <t>Метод генерации кода на основе LLM для тестирования компилятора Go</t>
  </si>
  <si>
    <t>Самир Ахмед Халид, Руководитель отдела R&amp;D компании IQTools</t>
  </si>
  <si>
    <t>Габбасов Александр Олегович</t>
  </si>
  <si>
    <t>Применение технологии Retrieval Augmented Generation для эффективного извлечения знаний из видеозаписей онлайн видеоконференций</t>
  </si>
  <si>
    <t>Голосков Василий Сергеевич</t>
  </si>
  <si>
    <t>Применение машинного обучения для построения маршрутов доставки товаров в городе Москве</t>
  </si>
  <si>
    <t>Даниленко-Онат Эльвира Энверовна</t>
  </si>
  <si>
    <t>Система генерации контекстуальных предложений с пропущенными словами в системе обучения английскому языку с использованием машинного обучения</t>
  </si>
  <si>
    <t>Зимин Евгений Евгеньевич</t>
  </si>
  <si>
    <t>Оптимизация тестирования статистических гипотез: снижение шума в метриках с использованием методов машинного обучения</t>
  </si>
  <si>
    <t>Кожевникова Екатерина Олеговна</t>
  </si>
  <si>
    <t>Прогнозирование извержений вулкана Ключевской на Камчатке с использованием нейросетевых моделей</t>
  </si>
  <si>
    <t>Коряков Дмитрий Альбертович</t>
  </si>
  <si>
    <t>Методика Retrieval-Augmented Generation (RAG) на основе графовой структуры данных для снижения галлюцинаций в больших языковых моделях при генерации текста для консультационной системы в рамках домена знаний об автомобилях</t>
  </si>
  <si>
    <t>Миловидов Иван Сергеевич</t>
  </si>
  <si>
    <t>Система анализа присутствия брендов в социальных сетях</t>
  </si>
  <si>
    <t>Стрыгин Денис Дмитриевич</t>
  </si>
  <si>
    <t>Применение машинного обучения для балансировки в многозадачных системах</t>
  </si>
  <si>
    <t>Буреева Полина Сергеевна</t>
  </si>
  <si>
    <t>Автоматизация перехода на разноуровневые пакеты услуг в рамках долгосрочных стратегий персонализации банковского сервиса</t>
  </si>
  <si>
    <t>Проскуряков Олег Олегович</t>
  </si>
  <si>
    <t>Вартумян Валерий Давидович</t>
  </si>
  <si>
    <t>Оптимизация процессов загрузки и обработки датасетов в облачной ML-платформе на базе Kubernetesь</t>
  </si>
  <si>
    <t>Гаптулхаков Руслан Рамилевич</t>
  </si>
  <si>
    <t>Разработка AI инструмента для работы с мультимодальными данными</t>
  </si>
  <si>
    <t>Евкарпиев Михаил Димитриевич</t>
  </si>
  <si>
    <t>Методы распознавания объектов на изображениях с синтезированной апертурой радара (SAR) с использованием глубокого обучения</t>
  </si>
  <si>
    <t>Лысаковская Екатерина Дмитриевна</t>
  </si>
  <si>
    <t>Генератор синтетических данных для задач компьютерного зрения на основе процедурного рендеринга объектов на основе движка Blender</t>
  </si>
  <si>
    <t xml:space="preserve"> Ухов Петр Александрович, кандидат технических наук, доцент, доцент каф. 806</t>
  </si>
  <si>
    <t>Моисеенков Илья Павлович</t>
  </si>
  <si>
    <t>Использование графов знаний для улучшения качества генеративных языковых моделей и их интерпретируемости</t>
  </si>
  <si>
    <t>Панцырный Иван Олегович</t>
  </si>
  <si>
    <t>Автоматизированная обработка телеметрических сообщений космического аппарата</t>
  </si>
  <si>
    <t>Пестерников Данил Юрьевич</t>
  </si>
  <si>
    <t>Адаптивная рекомендательная система питания на основе анализа пищевых привычек и пользовательских отзывов</t>
  </si>
  <si>
    <t>Савин Александр Андреевич</t>
  </si>
  <si>
    <t>Конвертация аудиофайла в midi формат с использованием нейросети</t>
  </si>
  <si>
    <t>Сокольский Кирилл Антонович</t>
  </si>
  <si>
    <t>Платформа по распознаванию транспортных средств с применением компьютерного зрения и расчету коэффициента интенсивности движения</t>
  </si>
  <si>
    <t>Солдатов Вячеслав Алексеевич</t>
  </si>
  <si>
    <t>Создание программы для прогнозирования длительности испытаний полимерных композиционных материалов при циклическом нагружении растяжением</t>
  </si>
  <si>
    <t>Терешков Алексей Юрьевич</t>
  </si>
  <si>
    <t>Прогнозирование экономических показателей на основе анализа текстовых данных из новостных источников</t>
  </si>
  <si>
    <t>Гаврилов Константин Юрьевич, доктор технических наук, Доцент, профессор каф.806</t>
  </si>
  <si>
    <t>Федоров Антон Сергеевич</t>
  </si>
  <si>
    <t>Графовые нейросетевые архитектуры для аппроксимации результатов работы CFD-решателей</t>
  </si>
  <si>
    <t>Чернобаев Андрей Александрович</t>
  </si>
  <si>
    <t>Разработка модели машинного обучения для изучения влияния различных погодных факторов на урожайность сельхозкультур</t>
  </si>
  <si>
    <t>Шавандрин Фёдор Михайлович</t>
  </si>
  <si>
    <t>Программный фильтр запрещенных слов в аудиофайлах на основе нейросетевых технологий</t>
  </si>
  <si>
    <t>Шекунов Михаил Андреевич</t>
  </si>
  <si>
    <t>Рекомендательная система с эвристикой, оптимизирующей маршрут</t>
  </si>
  <si>
    <t>Лунева Светлана Юрьевна, кандидат экономических наук, доцент, доцент каф. 805</t>
  </si>
  <si>
    <t>Александрова Светлана Сергеевна</t>
  </si>
  <si>
    <t>Методика применения машинного обучения для генерации учебных материалов по инженерным дисциплинам из медиаконтента</t>
  </si>
  <si>
    <t>Беспалова Анастасия Юрьевна</t>
  </si>
  <si>
    <t>Прогнозирование загруженности парковочных мест для оптимизации городской парковочной инфраструктуры</t>
  </si>
  <si>
    <t>Булакин Леонид Александрович</t>
  </si>
  <si>
    <t>Построение индикаторов риска на основе многоканальных открытых данных</t>
  </si>
  <si>
    <t>Гаврилов Николай Сергеевич</t>
  </si>
  <si>
    <t>Интеллектуальная система обработки обращений клиентов кредитной организации</t>
  </si>
  <si>
    <t>Голунова Екатерина Максимовна</t>
  </si>
  <si>
    <t>Прогнозирование численности учащихся СПО с учетом экономических параметров</t>
  </si>
  <si>
    <t>Захаров Алексей Вячеславович</t>
  </si>
  <si>
    <t>Интеллектуальный ассистент по открытию отдельных банковских счетов на основе мультимодальной модели RAG</t>
  </si>
  <si>
    <t>Золотухин Иван Васильевич</t>
  </si>
  <si>
    <t>Интеграция архитектуры Transformer для извлечения признаков в системах Visual SLAM</t>
  </si>
  <si>
    <t>Каримов Рустам Рашитович</t>
  </si>
  <si>
    <t>Применение методов машинного обучения для решения задач антифрода</t>
  </si>
  <si>
    <t>Кириков Артем Юрьевич</t>
  </si>
  <si>
    <t>Оценка потенциала роста бизнеса</t>
  </si>
  <si>
    <t>Монзиков Юрий Николаевич</t>
  </si>
  <si>
    <t>Применение машинного обучения в системах поиска субъектов по стоп-листам</t>
  </si>
  <si>
    <t>Рубашко Владислав Олегович</t>
  </si>
  <si>
    <t>Разработка интерпретируемой модели машинного обучения для бинарной классификации в задаче пре-скоринга</t>
  </si>
  <si>
    <t>Самсонов Данила Сергеевич</t>
  </si>
  <si>
    <t>Система анализа логов распределённых сервисов</t>
  </si>
  <si>
    <t>Скиданова Екатерина Владимировна</t>
  </si>
  <si>
    <t>Рекомендательная система оптимизации набора запасных частей в сервисном центре</t>
  </si>
  <si>
    <t>Степанов Тимофей Владимирович</t>
  </si>
  <si>
    <t>Идентификация трафика clickstream с помощью SmartTriggers</t>
  </si>
  <si>
    <t>Усенко Александр Станиславович</t>
  </si>
  <si>
    <t>Обнаружение признаков мошеннической деятельности или отмывания денег в банковских транзакциях</t>
  </si>
  <si>
    <t>Николаев Вячеслав Андреевич, Эксперт-разработчик Т1</t>
  </si>
  <si>
    <t>Построение виртуальных тревел и репетитор ассистентов на базе больших языковых моделей</t>
  </si>
  <si>
    <t>Система анализа публикаций на основе иерархических структур научных терминов</t>
  </si>
  <si>
    <r>
      <t>Мазаев Артемий Сергеевич, Руководитель направлений: развитие сервисов для запуска приложений и моделей, развитие сервиса AI Агентов, развитие сервиса RAG, развитие сервиса Foundation Models </t>
    </r>
    <r>
      <rPr>
        <u/>
        <sz val="10"/>
        <color theme="10"/>
        <rFont val="Calibri"/>
        <family val="2"/>
        <charset val="204"/>
        <scheme val="minor"/>
      </rPr>
      <t>Cloud.ru</t>
    </r>
  </si>
  <si>
    <t>Алгоритмы детекции динамического спуфинга GPS с целью повышения безопасности навигации беспилотных летательных аппаратов</t>
  </si>
  <si>
    <t>Оценка эластичности поведения клиентов страховой компании с применением каузальной модели</t>
  </si>
  <si>
    <t>Система противодействия БПЛА при помощи динамического спуфинга GPS</t>
  </si>
  <si>
    <t>Разработка программного обеспечения для обнаружения заболеваний растений</t>
  </si>
  <si>
    <t>Кошелев Константин Борисович, кандидат физико-математических наук, доцент, Старший научный сотрудник, ИВЭП СО РАН</t>
  </si>
  <si>
    <t>Зверева Виктория Борисовна, главный специалист, АO НИЦ АСК</t>
  </si>
  <si>
    <t>Воронцов Константин Вячеславович, профессор Института ИИ МГУ, доктор физико-математических наук, профессор РАН.</t>
  </si>
  <si>
    <t>Юнин Иван Николаевич, генеральный директор Фонда "Транспортные инновации Москвы"</t>
  </si>
  <si>
    <t>Авдеева Зинаида Константиновна, ученый секретарь ИПУ РАН, кандидат технических наук.</t>
  </si>
  <si>
    <t>Богомолов Дмитрий Валерьевич
Заведующий кафедры технической эксплуатации летательных аппаратов и авиационных двигателей МГТУ ГА, кандидат физика-математических наук , доцент</t>
  </si>
  <si>
    <t>Павленко Ольга Викторовна, к.т.н, ведущий научный сотрудник ЦАГИ</t>
  </si>
  <si>
    <t>Сорокин Константин Эдуардович, к.ф.-м.н., ведущий программист, ООО "Тесис"</t>
  </si>
  <si>
    <t>Краюшкин Владимир Анатольевич, к.т.н., доцент, Руководитель AR проектов ООО "ПТС"</t>
  </si>
  <si>
    <t>Щукин Кирилл Олегович, Генеральный директор ООО "РБС Гарпия"</t>
  </si>
  <si>
    <t>Стенин Максим Сергеевич
Руководитель отдела инфраструктурной безопасности ООО «Юстас»</t>
  </si>
  <si>
    <t>Климов Алексей Сергеевич Руководитель направления, к.п.н., ООО «Облачные технологии»</t>
  </si>
  <si>
    <t>Чернышов Лев Николаевич, к.ф.-м.н., доцент, доцент , Финансовый университет при Правительстве РФ</t>
  </si>
  <si>
    <t>Кулинский Антон Анатольевич, АО «ТБанк», руководитель отдела образовательной платформы</t>
  </si>
  <si>
    <t>Мороз Дмитрий Геннадьевич, к.т.н., доцент, Руководитель по работе с вузами . ООО "ГК "Иннотех"</t>
  </si>
  <si>
    <t>Сосенушкин Сергей Евгеньевич, Директор института информационных технологий Московского государственного технологического университета "СТАНКИН"</t>
  </si>
  <si>
    <t>Чернышев Петр Александрович, генеральный директор ООО "Фрифлекс"</t>
  </si>
  <si>
    <t>Бутенко Юлия Ивановна
к.т.н., доцент кафедры теоретической информатики и компьютерных технологий МГТУ им. Н.Э. Баумана</t>
  </si>
  <si>
    <t>Радостин Андрей Викторович, д.ф.-м.н., старший программист, ООО "Тесис"</t>
  </si>
  <si>
    <t>Мигачёв Максим Алексеевич, Ozon банк, Руководитель отдела транзакционного контроля</t>
  </si>
  <si>
    <t>Салынский Сергей Геннадьевич, руководитель офиса моделирования поведенческих сценариев, центра развития искусственного интеллекта СПАО "Ингосстрах"</t>
  </si>
  <si>
    <t>Еремин Константин Юрьевич, руководитель направления по исследованию данных / Цифровой двойник / отдел развития искусственного интеллекта в B2C, ПАО "Сбербанк"</t>
  </si>
  <si>
    <t>Сараев Константин Игоревич, руководитель отдела перспективных разработок, ООО "Нанософт Разработка"</t>
  </si>
  <si>
    <t>Билявщук Ирина Викторовна, старший специалист Департамента инфраструктурных решений и сервисов, КРОК</t>
  </si>
  <si>
    <t>Гумерова Анна Викторовна,
Руководитель проектов по разработке программного обеспечения,
ОАК "Ресурс"</t>
  </si>
  <si>
    <t>Обухов Юрий Владимирович, начальник лаборатории ГосНИИАС, кандидат наук</t>
  </si>
  <si>
    <t>Котов Юрий Евгеньевич, начальник департамента технических средств обучения, ПАО "Яковлев" филиал "Региональные самолеты"</t>
  </si>
  <si>
    <t>Романова Дарья Игоревна, к. ф.-м. н., научный сотрудник, ИСП РАН.</t>
  </si>
  <si>
    <t>Козин Антон Сергеевич Руководитель группы продуктов ООО «Облачные технологии»</t>
  </si>
  <si>
    <t>Ермолин Алексей Николаевич, начальник отдела автоматизации процессов банковского сопровождения, ПАО "Банк ПСБ"</t>
  </si>
  <si>
    <t>Самир Ахмед Халид, Руководитель отдела R&amp;D, ООО "Ай Кью Тулс"</t>
  </si>
  <si>
    <t>Аникин Андрей Леонидович, д.т.н., профессор, технический директор НТЦ Азимут</t>
  </si>
  <si>
    <t>Скиба Александр Романович, Руководитель группы по направлению хранилищ данных в центре компетенций инженерии данных, ООО «МТС Веб Сервисы»</t>
  </si>
  <si>
    <t>Голомазов Александр Владимирович, Руководитель направления разработки, ООО "ГК "Иннотех"</t>
  </si>
  <si>
    <t>Тхор Маргарита Юрьевна, Менеджер проектов, АНО "Школа 21"</t>
  </si>
  <si>
    <t>Козин Антон Сергеевич Руководитель группы продуктов ООО "Облачные технологии"</t>
  </si>
  <si>
    <t>Тесемников Александр Вячеславович, Старший ML разработчик, Сбер</t>
  </si>
  <si>
    <t>Исаев Алексей Евгеньевич, Главный технический художник в Студии Кефир, специалист по процедурной генерации</t>
  </si>
  <si>
    <t>Мамаев Александр Александрович, руководитель службы ML, Яндекс Такси</t>
  </si>
  <si>
    <t>Ануркин Сергей Иванович, начальник отдела, АО РКС</t>
  </si>
  <si>
    <t>Смирнов Алексей Евгеньевич. Ведущий инженер ключевых проектов. Huawei.</t>
  </si>
  <si>
    <t>Морозов Дмитрий Михайлович Главный специалист (тимлид отдела дата инженеров) Инновационный центр "Безопасный транспорт"</t>
  </si>
  <si>
    <t>Шершак Павел Викторович, к.т.н., зам. начальника лаборатории «Прочность и надежность материалов воздушного судна», ВИАМ.</t>
  </si>
  <si>
    <t>Тимофеев-Каракозов Александр Михайлович, Старший ML разработчик, Яндекс Роботикс</t>
  </si>
  <si>
    <t>Минюшкин Дмитрий Николаевич, заведующий лабораторией МФТИ</t>
  </si>
  <si>
    <t>Осипов Владимир Петрович, к.т.н., доцент, ведущий научный сотрудник ИПМ им.М.В.Келдыша РАН.</t>
  </si>
  <si>
    <t>Александров Илья Витальевич
директор по управлению коммерческими продуктами АО «Центр биометрических технологий»</t>
  </si>
  <si>
    <t>Осипов Сергей Иванович, к.ф.-м.н., доцент, кафедра прикладной математики и механики, Уральский Федеральный Университет</t>
  </si>
  <si>
    <t>Климов Алексей Сергеевич, к.п.н.,
Руководитель направления 
ООО «Облачные технологии»</t>
  </si>
  <si>
    <t>Козин Антон Сергеевич, руководитель группы продуктов ООО «Облачные технологии»</t>
  </si>
  <si>
    <t>Скиба Александр Романович, руководитель группы по направлению хранилищ данных в центре компетенций инженерии данных, ООО «МТС Веб Сервисы»</t>
  </si>
  <si>
    <t>Академ</t>
  </si>
  <si>
    <t>Резервный день</t>
  </si>
  <si>
    <t>Болеет</t>
  </si>
  <si>
    <t>полное отсутствие</t>
  </si>
  <si>
    <t>Оценка</t>
  </si>
  <si>
    <t>Вопросы</t>
  </si>
  <si>
    <t>Замечания</t>
  </si>
  <si>
    <t>Лукин - Что обозначает МФУБ?
Лукин - Для чего Ваша ОС нужна?
Лукин - Что делает ОС?
Дзюба - Какие аналогичные методики существуют?
Лукин - Что такое состав результатов?
Лукин - Что такое качество ОС?</t>
  </si>
  <si>
    <t>Некоторые вещи чуть крупнее, читает со слайдов, вышел за время на полминуты
Прочитать ГОСТ о безопасности программирования, переписать новизну
Добавить сравнения с аналогами
Переписать заключение</t>
  </si>
  <si>
    <t>Лукин - Чем Ваш продукт поможет?
Дзюба - Проводились ли исследования?
Лукин - У разных людей разная степень чувствительности - как Ваша программа может определить "процент ментального урона"?</t>
  </si>
  <si>
    <t>Титульник, КОДА НЕТ, читает со слайдов, 6 слайд цвета убрать с 19 тоже, Некоторые вещи крупнее
АРХИТЕКТУРЫ ВООБЩЕ НЕ ВИДНО (и это даже не архитектура), БД так же, Моделирование действий тоже, Рассчет стоимости аналогично
Слайд демонстрации есть, но её нет
Множество моментов ещё не реализованы</t>
  </si>
  <si>
    <t>Лукин - Много пользователей - это сколько?
Дзюба - Как защищаются собранные данные?
Дзюба - Как реагирует на сетевые ошибки?
Дзюба - Почему используете то, что официально в Россию не поставляется?</t>
  </si>
  <si>
    <t>14 слайд покрупнее, НЕТ АКТА О ВНЕДРЕНИИ
Русифицировать
Из темы убрать "оптимизацию"</t>
  </si>
  <si>
    <t>Ухов - Как оценивают компетенции?</t>
  </si>
  <si>
    <t>ТИТУЛЬНИК, НУМЕРАЦИЯ, МЕЛКО (вышла за время на полминуты)
КОД? (есть только гагаринский чтения) (АКТ Выполненных Работ запрашивается)
Говорить более внятно
Это не ER-диаграмма
Объяснить тему</t>
  </si>
  <si>
    <t>Ухов - В чем проактивность мониторинга?
Ухов - Как отличается от базовых инструментов?</t>
  </si>
  <si>
    <t>Защитился на 7мин
Переделать архитектуру</t>
  </si>
  <si>
    <t>Ухов - Зачем так долго обучали?
Ухов - Откуда брали данные?
Ухов - Какой кретерий оптимизации?
Лукин - Можно ли обойтись без нейросетей?
Ухов - Какой объем данных?</t>
  </si>
  <si>
    <t>ТИТУЛЬНИК, говорить громче
QR - в конец, последний коммит полгода назад - нейросетей нет
Переписать цель
Добавить задачи
Архитектура</t>
  </si>
  <si>
    <t>Кондаратцев - Данная технология сохранения - Ваша разработка?
Кондаратцев - Что-то в этой работе было обучено?
Кондаратцев - Чем была вызвана постановка задачи?</t>
  </si>
  <si>
    <t>Нумерацию сделать виднее, Некоторые вещи чуть крупнее (защитился за 8:30)
Добавить ссылку на источник (тк разработка не чисто его)
Слайд заключения добавить</t>
  </si>
  <si>
    <t>Кондаратцев - Что с обучающей выборкой?
Кондаратцев - В чем математическая разница высчитываения высот и глубины?
Кондаратцев - Что было сделано конкретно вами?
Кондаратцев - Какие ресурсы необходимы для обучения ?</t>
  </si>
  <si>
    <t>Нумерацию чуть крупнее, Некоторые вещи чуть крупнее (Защитился за 7мин)
Добавить объем, разметку, препроцессинг</t>
  </si>
  <si>
    <t>Дзюба - Что даёт построенная Вами система?
Дзюба - Саму антологию кто строит? Автоматически или аналитик?
Дзюба - Использовали датасеты для проверки?
Дзюба - Где рисуются графы?</t>
  </si>
  <si>
    <t>Некоторые вещи чуть крупнее (вышел за время на полминуты)
QR ведёт на профиль, но код есть</t>
  </si>
  <si>
    <t>Ухов - Можно ли найти похожие публикации?
Дзюба - На 17 слайде шкала в чем измеряется?
Чернова - Какие методы сравнения профелей использовали?
Чернова - Делаете прогнозирование профелей?</t>
  </si>
  <si>
    <t>Архитектуру крупнее, Некоторые вещи крупнее (Вышел за время совсем)
QR ведёт на профиль</t>
  </si>
  <si>
    <t>Дзюба - Размер сетки определяется автоматически?
Дзюба - Какая алгоритмическая сложность получается?
Дзюба - Размер матрицы зависит от шага?
Ухов - В чем отличие от классических методов прогонки?</t>
  </si>
  <si>
    <t>Нумерацию виднее, Некоторые вещи крупнее, Чёрный фон убрать (Защитилась за 7мин)</t>
  </si>
  <si>
    <t>Дзюба - У Вас единая архитектура для всего?
Чайников - Как обрабатывать нежелательные сценарии?</t>
  </si>
  <si>
    <t>Некоторые вещи крупнее (нумерация тоже), архитектуру не видно</t>
  </si>
  <si>
    <t>Медленнее говорить
номера слайдов нужны
что такое обработка задач?
нет размерностей
что случится если будет еще одна ошибка</t>
  </si>
  <si>
    <t>что такое статус?
как настроено мгновенное оповещение о статусе закаа?
какое железо исподьзуете для поднятия вашего сервиса?
поменять картинку архитектуры</t>
  </si>
  <si>
    <t xml:space="preserve">что такое оптимизация и модель оптимизации?
где аналитический блок?
почему именно такая модель?
реальные ли данные?
</t>
  </si>
  <si>
    <t>слишком долго
нужно не читать
чем отличается от веб-сервиса?
передомной была поставлена задача, нужно поменять формулировку</t>
  </si>
  <si>
    <t xml:space="preserve">очень невнятно говорит
что такое геймафикация?
что такое опыт?
</t>
  </si>
  <si>
    <t>доклад плохой
слайды плохие
невозможно понять работу
есть ли рекомендации
переделать работу
что означают цвета на 7 слайде?
итоги должны быть по задачам работы
нет qr-кода....</t>
  </si>
  <si>
    <t>переформулировать актуальность
стрим хаус что такое?
шаблон плохой убрать, актуальное лого сделать</t>
  </si>
  <si>
    <t xml:space="preserve">не читать с бумажки
крупнее номера слайдов
схему разбить на 3 слайда
</t>
  </si>
  <si>
    <t xml:space="preserve">доклад потренировать рассказывать
что такое пайплайн?
убрать жаргонизмы
</t>
  </si>
  <si>
    <t>Приложение для поддержки корректной
последовательности ссылок
в научных публикациях</t>
  </si>
  <si>
    <t>Лукин - Кто пользователь приложения?
Филимонов - Что такое целевой формат?
Грубенко - Где интерфейс?</t>
  </si>
  <si>
    <t>Структуру в виде картинки</t>
  </si>
  <si>
    <t>Лукин - Где сам алгоритм?
Лукин - На чем обучали?
Филимонов - С какими еще алгоритмами сравнивали?
Грубенко - Где в коде сам алгоритм?</t>
  </si>
  <si>
    <t>Сделать архитектуру более видной</t>
  </si>
  <si>
    <t>Лукин - Чем в итоге помогает Ваше приложение?</t>
  </si>
  <si>
    <t>Нумерация
Базы данных перерисовать
Полностью переделать презентацию
Слишком много воды</t>
  </si>
  <si>
    <t>Лукин - Сравнивалась производительность чего?</t>
  </si>
  <si>
    <t xml:space="preserve">Нумерация
</t>
  </si>
  <si>
    <t>Чернова - Законы Пуассона и распределения?</t>
  </si>
  <si>
    <t>Ревизников - Сколько в 1 атмосфере Паскалей?</t>
  </si>
  <si>
    <t>Покрупнее текст</t>
  </si>
  <si>
    <t>Лукин - Что такое вектор?
Филимонов - Что такое вероятностные потери?
Грубенко - Какие базовые метрики?</t>
  </si>
  <si>
    <t>Убрать английский</t>
  </si>
  <si>
    <t>Лукин - В чем отличие приватного ключа от пароля?
Лукин - Что такое кодовая база?</t>
  </si>
  <si>
    <t>Сократить рассказ</t>
  </si>
  <si>
    <t>Лукин - Что такое метаграфы? В чем отличие от сетевой модели БД?</t>
  </si>
  <si>
    <t>"Язык на основе грамматики SQL"</t>
  </si>
  <si>
    <t>Лукин - А если начнут редактировать оду и ту же строку?
Филимонов - А где отображение 2 курсора?</t>
  </si>
  <si>
    <t>Лукин - Что такое аналитический профиль? И зачем он нужен?
Чернова - Это для какой-то организации делалось?</t>
  </si>
  <si>
    <t>Везде разные шрифты</t>
  </si>
  <si>
    <t>Филимонов - Чей это кошелек?
Филимонов - В теме аналитика звучит, но где в работе?</t>
  </si>
  <si>
    <t>Нумерация</t>
  </si>
  <si>
    <t>Использование LLM Agent'а как персонального ассистента для контроля умного дома</t>
  </si>
  <si>
    <t>Озеров
Что от чего зависит в динамике кумулятивного числа, что значит кумулятивный
Больше о реализации, как делал, результата нет, над чем трудился, проблемы, уникальность диплома, что особенного, как будто ничего не делал, совет быть готовым к тяжелым вопросам по нейросетям
Где брали данные, упоминал правительство, где брал график, прогнозного графика нет, какие графики для него нужны,хотя тема прогнозирование
Как разбивается на фазы, что это, зачем</t>
  </si>
  <si>
    <t>Орусский
В чем работа, самая главная суть диплома, какая разница электромобиль, пирожки, ограничения, как считается оптиминальный маршрут, критерии оптимальности, архитектуру написать на русском, навигацию тоже, рассказать про реализацию, показывал ли он дипломнику и что он сказал, как ставятся точки пути, как считаются расходы бензинов, как парсятся, не легче пользователю самому вести, что такое микросервис, говорит что он но нема</t>
  </si>
  <si>
    <t>Петров
Очень длинная презентация, говорит быстро, говорит доске, но технически очень понравилось, очень маленькие картинки, смысл работы непонятен но идея понятна, зачем llm, есть же просто датчики температуры, люди просто настроили один раз свет и температуру, llm здесь лучше использовать как голосовой ассистент</t>
  </si>
  <si>
    <t>Самсонов
Лукин сказал перенести номер страницы направо, в структуре много англицизмов, нет ли никакого фронтенда, он ответил значит каким способом его нужно тестировать, хотя бы свагер сделал, заголовки в бд перевести, что входит, объяснить результат, какой смысл картинок, есть картинка админа юзера что это зачем почему, выводы переформулировать, контроллер как работают какие механизмы библиотеки для безопасности, не надо подтирать стенку</t>
  </si>
  <si>
    <t>Синюков
Не понятен 9 10 слайд (пример работы), в чем работа, сделать самому интерфейс или описать что там где зачем почему, просто вывел логи и сиди думай, про аналоги рассказать, он ответил что аналогов нет, но сказали лучше все равно сравнивать, токен объяснить, две разные бдшки зачем, а в реальности одна,</t>
  </si>
  <si>
    <t>Тихонов
Краткий обзор убрать или пересобрать, что такое методология,что он понимает под ней, какие задачи, характер их, характер пользователя, ца кто, Лукин не понимает как это может быть что все можно задачи можно выполнить, как его работа помогает выполнить его задачу, но Тихонов хорошо объяснил, номера страниц плохо видно, интерфейс неудобный, пишет постоянно про фидбек сколько кто людей было протестировано, заключение очень доброе, гипотеза зачем, просят убрать или переписать, он пишет про гипотезу, а зачем где она, раньше он не говорил какая у него гипотеза, в название есть заголовок, а где он и как он работает, почему Яндекс гпт как обучалась, цель длинная очень не понравилось,!</t>
  </si>
  <si>
    <t>Устинов
Постоянен говорит моя, плохо, у него заглушка что ли, он берет такой же который на Дж запускается и запускает на серверной части, асембливеб как у него работает, тот факт что нет реальной бд хотя у него проект на бд в основном работает никак не влияет, в чем смысл всего этого, согласованность можно обеспечить намного легче, в чем проблема интерпретировать класс, там можно просто нажать на кнопку и все будет легче, зачем почему я термины Карин не понимаю
Зачем приближать к реальным условиям, то о чем он говорит тестирование просто, с темой есть расход</t>
  </si>
  <si>
    <t>Чапкин
Характер документации, в формате чего доки, где миграция субд, их нужно описать, это по сути просто запуск скриптов, нормальной генерации нема, как она реализована, как будто просто курсач,реализация хорошая, много кода но нет согласованности с темой, зачем роли и права, это где то применяется, сервиса иммиграции показать, показать что то на эту тему, говорит фронта нет хотя в архитектуре пользовательский интерфейс есть, подправить эту фразу, cibcd</t>
  </si>
  <si>
    <t>Черевичин
Я поставил цели постоянно, руководитель ничто да, несогласованные падежи в итогах, нумерация слайда сломалась, работа сервисов очень крутой слайд как при 94 ticket service может быть 84 payment, переместить в другое русло презу, не по теме, это все система бронирования как будто а не трассировка и мониторинг микросервисов, говорит 10 рпс а это просто модель и тестил на 2500, акцент ближе к теме перенести, много вопросов у НС которые он не стал задавать, русский язык беда, микросервиса с трасс</t>
  </si>
  <si>
    <t>Чистяков
Мат постановка ниче не видно, суть ее надо рассказать, ресурсы в дипломе, где оптимизация, сетевой график это не так легко как у него, оптимальное опасное слово, с помощью чего он решает задачку, он сам реализовал числаки или взял с инета, совет подготовиться почему этот решатель почему то се, тема очень мутная, не нужно читать слайд с целью и задачей, а просто комментировать, быстро говорит невозможно разобрать, хотя времени много, повышение эффективности календаря менеджерская чушь, в основном вопросы что оптимизируется, что эээ</t>
  </si>
  <si>
    <t>Шляхтина
Почему не взять одного коммивояжер, что такое хорошо оптимально распределить, ценность потери времени выше чем потеря денег, не видно оптимизация, постановки задачи, кр код не открывается, ее утверждения безумны, добавить постановку задачу, убрать бред про линейность, объединить два слайда сравнения и анализа масштабируемости, не видно явных преимуществ и непонятно, будут бить
У комиссии кр код не открылся а у меня открылся через обычную камеру</t>
  </si>
  <si>
    <t>Шуленков
Архитектуру на русском, сущность слишком примитивная, зачем это нужно, фактически применяет</t>
  </si>
  <si>
    <t>Крылов - Банкротство и дефолт - это разные вещи?
Крылов - Даталейк и датасет - В чем различия?
Крылов - Что показывает корреляция пропусков?
Ухов - Из каково источника собираете решения судов?</t>
  </si>
  <si>
    <t>Чуток вышел за время на полминуты
До заполнить репозиторий (ридми)</t>
  </si>
  <si>
    <t>Булакина - Прескоринг чем отличается от скоринга?
Булакина - Читали исследования по данной теме?
Ухов - На 10 слайде для чего применяется Redis?
Ухов - Как кодировались ОКВЕДы?
Ухов - Поясните про дисбаланс классов?</t>
  </si>
  <si>
    <t>Вышел за время на полминуты
Можно все покрупнее
Руководитель Крылов</t>
  </si>
  <si>
    <t>Крылов - Почему это рекомендательное система? Кому и что она рекомендует?
Булакина - Какой алгоритм реализации используется?
Крылов - Какая персонализация есть?
Булакина - Что находится в JSON?</t>
  </si>
  <si>
    <t>Защитилась за 7:30
Код? (будет справка с работы)
Тему сменить
Убрать у заголовков слайдов Нумерацию к задачам</t>
  </si>
  <si>
    <t>Крылов - Смотрел ли руководитель работу?
Булакина - Сами пробовали сколько по времени выходит при использовании Вашей системы?
Ухов - Что на входе, а что на выходе?
Давыдов - Какие требуемые ресурсы?</t>
  </si>
  <si>
    <t>Все мелко
Вышла за время совсем (5:30 и более)
Код? (будет потом)
Перерисовать 7 слайд</t>
  </si>
  <si>
    <t>-</t>
  </si>
  <si>
    <t>Крылов - С чем связана проблема парковочных мест?
Крылов - В Сургуте нет платных парковок?
Крылов - Как Ваша система позволяет решить проблему с парковкками?
Булакина - Имеет ли значение время года?
Крылов - Как влияет время суток?
Булакина - Предлагали свое решение муниципальных органам власти?</t>
  </si>
  <si>
    <t>Булакина - Почему именно такое название бота?
Булакина - Почему именно RAG?
Булакина - Это безопасная модель?
Булакина - Почему 2 языковых модели?</t>
  </si>
  <si>
    <t>Защитился за 8:30
Бот лег</t>
  </si>
  <si>
    <t>Крылов - Руководитель видел Вашу работу?
Ухов - Какая модель используется?
Давыдов - Есть ли аналоги выбранной модели?</t>
  </si>
  <si>
    <t>QR в конец
Защитился за 8мин</t>
  </si>
  <si>
    <t>Булакина - В каких системах можно использовать Ваш результат?</t>
  </si>
  <si>
    <t>Все мелко
Защитился за 6мин
Проследить за русским</t>
  </si>
  <si>
    <t>Давыдов - Что конкретно дорабатывали?
Давыдов - Сравнивали алгоритм со своей моделью?
Давыдов - Обучали на реальных данных?</t>
  </si>
  <si>
    <t>Все мелко
Вышел за время на полминуты
QR ошибка 404</t>
  </si>
  <si>
    <t>Ухов - Чем анализировали пропуски?
Ухов - Есть ли полный список данных?
Булакина - Что такое регион 3 кластера?
Крылов - Как влияет количество учащихся СПО на экономику?</t>
  </si>
  <si>
    <t>Защитилась за 5 мин
Код?</t>
  </si>
  <si>
    <t>Ухов - Как генерировались синтетические данные?</t>
  </si>
  <si>
    <t>Руководителя сменили на Крылова
Волнуется очень 
Презентацию делал видимо ночью (переделать)
Защитился за 6:30
(С Мазаевым долго обсуждали что ничего не понятно)
Убрать из темы "или отмывание денег"</t>
  </si>
  <si>
    <t>Онлайн (ужасный микрофон) 
Из-за онлайн комментарии по презентации с моей стороны отсутствуют (такое ощущение что все мелко и много всего на слайдах)
Огромная презентация, не укладывается во времени совсем
QR?
Маркин - не увидел конкретного заключения и выводов</t>
  </si>
  <si>
    <t>Автоматизация тестирования инфраструктурных компонент программного продукта</t>
  </si>
  <si>
    <t>Безопасность микросервисных приложений: построение сети в кластере Kubernetes, анализ и защита от угроз</t>
  </si>
  <si>
    <t>Чернова - Расскажите про телеметрию.
Ляпина - Чем Ваш результат лучше?</t>
  </si>
  <si>
    <t>Читает...</t>
  </si>
  <si>
    <t>Увеличить таблички, вообще не видно</t>
  </si>
  <si>
    <t>Ляпина - Происходит ли привязка к географическим данным?</t>
  </si>
  <si>
    <t>Переделать презентацию, чтобы нормально отображалась, т.е. со встроенными шрифтами</t>
  </si>
  <si>
    <t>Лукин - На сколько Ваше решение упрощает проверку?
Чернова - Это смок тест или модульный?</t>
  </si>
  <si>
    <t>ок</t>
  </si>
  <si>
    <t>Нумерация
Модель сделать крупнее
Темные слайды</t>
  </si>
  <si>
    <t>Лукин - Что именно учитываете?</t>
  </si>
  <si>
    <t>Переделать логику презентации</t>
  </si>
  <si>
    <t>Увеличить архитектуру и БД</t>
  </si>
  <si>
    <t>Лукин - Где конкретно реализация?</t>
  </si>
  <si>
    <t>Нумерация
Методологию исправить
Увеличить архитектуру</t>
  </si>
  <si>
    <t>Лукин - Как оценивается пользовательский опыт ребенка?</t>
  </si>
  <si>
    <t>Исследовательская работа, то есть нет кода
Переименовать слайды, не понятно где сама модель</t>
  </si>
  <si>
    <t>Филимонов - Что такое исходный сигнал пациента?</t>
  </si>
  <si>
    <t>Некорректные формулировки
Заученная речь без пауз
Перевести на русский</t>
  </si>
  <si>
    <t>Увеличить клиентский интерфейс
Пустые слайды</t>
  </si>
  <si>
    <t>Доклад ужасный, читал, терялся</t>
  </si>
  <si>
    <t>"получены точные приближенные решения"</t>
  </si>
  <si>
    <t>Лукин - Что такое пошаговый перевод текста?
Чернова - На какиу-то методику опирались?</t>
  </si>
  <si>
    <t>Много фронта рассказано, мало про бэк</t>
  </si>
  <si>
    <t>Раскрыть аббревиатуры
Грамматика
Перевести на русский</t>
  </si>
  <si>
    <t>Ляпина - Какая глубина прогноза?</t>
  </si>
  <si>
    <t>Быстро и много "ААА"
Грамматика
Рассказывает сложными предложениями</t>
  </si>
  <si>
    <t>Выводы по пунктам</t>
  </si>
  <si>
    <t>Филимонов - Что именно ранжировали?
Ляпина - Откуда взята была эта задача?</t>
  </si>
  <si>
    <t>Проработать презентацию</t>
  </si>
  <si>
    <t>Мчедлишвили - Вы использовали GRPC?</t>
  </si>
  <si>
    <t>14 слайдов; Рассказывает больше стенке; Яканье; Говорить более внятно
Демонстрация системы - На темном и мелко
Хаус-тестирование - внятно сказать что это, некоторые могут не знать
Архитектуру объяснить подробнее и нарисовать покрупнее и понятнее, подписать что передают стрелочки
В резулбтатах убрать "существенное" тк не понятно как измеряли, "быстрое" если оставлять тогда вставить графики</t>
  </si>
  <si>
    <t>Лукин - Что такое семантический анализ языка? (Должны анализировать текст)
Лукин - Парсер и транслятор - что это?
Лукин - Анализируете модель?</t>
  </si>
  <si>
    <t>Рассказать про Ц4</t>
  </si>
  <si>
    <t>Лукин - Вы говорите про реальное время, что вы подразумеваете?
Чернова - Есть ли аналоги?</t>
  </si>
  <si>
    <t>Поменять название слайда архитектура
Мало слайдов (8)</t>
  </si>
  <si>
    <t>Черноваа - Есть ли реальный закакзчик?</t>
  </si>
  <si>
    <t>Плохие слайды, все мелко
Монотонно говорит</t>
  </si>
  <si>
    <t>Ляпина - Ваш алгоритм как считает "он пошел и это хорошо" это рифма или нет?
Ляпина - Как определяется мужская рифма?</t>
  </si>
  <si>
    <t>ТОропится и невнятно
"очень долго обсуждали тему"</t>
  </si>
  <si>
    <t>Рассказывает стене, тихо
Слайд структуры модели пустой
Графики не видно
Нумерация неверная
ГитХаб на отдельную</t>
  </si>
  <si>
    <t>Гидаспов - Есть ли CO? Его нет в продуктах выброса?</t>
  </si>
  <si>
    <t>Слишком долго (27слайдов)
Выводы - целое сочинение</t>
  </si>
  <si>
    <t xml:space="preserve">текст побольше
за счет чего масшабируемость?
</t>
  </si>
  <si>
    <t xml:space="preserve">Что такое высокая гибкость?
убрать лишние слова на скрине
</t>
  </si>
  <si>
    <t>Отвлеклась, ничего не записала
но замечания были
почему шттп, а не шттпс?</t>
  </si>
  <si>
    <t xml:space="preserve">увеличить шрифт
удобная для кого?
что делает робот?
реализованно ли это физически?
сделана ли документация
есть ли заказчик работы?
добавить сравнение
</t>
  </si>
  <si>
    <t xml:space="preserve">поменять стилистику презентации
проверить опечатки
архитектуру увеличить
есть ли фрагменты сеток, которые считаются плохими?
выделить фрагмент плохой сетки
</t>
  </si>
  <si>
    <t>Убрать слово оптимизация
Есть ли сравление работы с кешированием и без него?</t>
  </si>
  <si>
    <t>всего 2 примера в работе?
как апроксимируется?
С чем связано, что именно левосторонее?
реальное решение зависит от всех значений или только от тех? что слева?
сделать номера слайдов больше
изучены-это не итоги</t>
  </si>
  <si>
    <t xml:space="preserve">Чуть меделеннее говорить
побольше текст
базу данных побольше
какой размер файлов по итогу?
каккя размерность задачи на который вы тренирвались?
</t>
  </si>
  <si>
    <t>Барабанов Глеб Борисович</t>
  </si>
  <si>
    <t>Лукин - Какая цель Вашей работы?
Лукин - Что такое легенда?</t>
  </si>
  <si>
    <t>На 9 слайде "ты" оказалось это часть промта
"Выбраны источники" данных убрать, "Выбрана оптимальная языковая модель" - лучше "подходящая"
6 слайд лучше пример тендера по работе
Не при помощи питона, а на нем</t>
  </si>
  <si>
    <t>Филимонов - Что конкретно Вы делали?
Романенков - Откуда взяты и что это за уравнения? Зачем нужны?</t>
  </si>
  <si>
    <t>Все забыл и много молчал в начале потеряв 2мин, ну и дальше тоже много молчал
Без кода (Исследовательская работа) Оказалось код есть и должен быть...
Мат.модель не видно</t>
  </si>
  <si>
    <t>Лукин - Что такое репрайсер?
Федоров - Какой результат работы, что Вы в итоге сделали?</t>
  </si>
  <si>
    <t>Слишком много информации на слайдах</t>
  </si>
  <si>
    <t>Романенков - А где сами улучшения?</t>
  </si>
  <si>
    <t>Мелко
Не успевается понимать</t>
  </si>
  <si>
    <t>Лукин - Что такое свайп?
Лукин - Есть ли аналоги?
Федоров - Что на эмбендинг идет?
Федоров - Кластеризация только по лайкам?</t>
  </si>
  <si>
    <t>Мелкая нумерация, Челательно русифицировать свайп, В результатах писать разработанно и убрать "в себя", Переназвать интерфейс взаимодействия, Добавить другую сторону каарточки
Нет архитектуры и модулей (сказала Чернова, но вроде было)</t>
  </si>
  <si>
    <t>Мелкая нумерация
Не архитектура решения, входных данных нет и вообще бред нарисован</t>
  </si>
  <si>
    <t>Филимонов - Что на 12 слайде изображено?
Федоров - Какой объем выборки?
Филимонов - Что такое генеральная совокупность и сколько там данных?
Федоров - Скажите интерпритацию кластеров.
Федоров - Что значит очищенный набор?</t>
  </si>
  <si>
    <t>Мелкий титульник, мелкая нумерация
Много текста
Лукин "тема не совпадает с тем, что делал"
Выделить при рассказе суть работы</t>
  </si>
  <si>
    <t>Федоров - Что пишется в импрув дот?</t>
  </si>
  <si>
    <t>Мелкая нумерация
Русификация
Демонстрации не видно, переделать</t>
  </si>
  <si>
    <t>Очень быстро
7 слайд не видно
Вместо кода - акт о внедрении
Убрать в заключении "изучено"
Тема не подходит, там скорее аунтификация</t>
  </si>
  <si>
    <t>Лукин - Где структура базы данных?
Лукин - В чем суть обработки?</t>
  </si>
  <si>
    <t>Нумерация сбита
Не видно</t>
  </si>
  <si>
    <t>Титульник
Доклад ужасный
Кода нет (изучить существующие решения)
русифицировать
"просто нет слов...."</t>
  </si>
  <si>
    <t>Лукин - Кто кого кому рекомендует?
Лукин - Расскажите подробнее про контентную и колаборативную системы.</t>
  </si>
  <si>
    <t>Шрифт повиднее
Тема некорректа для понимания
Лукину не понятно что она сделала, но по мне все хорошо
Убрать задачу "изучить"
Больше про тестирование
Архитектуру не липить к краю</t>
  </si>
  <si>
    <t>Фёдоров - В реальном времени рендерится?</t>
  </si>
  <si>
    <t>Архитектуру плоховато видно, можно и побольше и цвета изменить, подписать стрелки
Вышел за время на 2 мин
Чётко обозначить что под "оптимизацией" понимается
На гите 1 файл только правой части архитектуры, а левой нет (Филимонов)</t>
  </si>
  <si>
    <t>Лукин - Для кого Ваша работа предназначена?
Лукин - Расскажите про тестирование.
Филимонов - В чем различие от Кипаса?</t>
  </si>
  <si>
    <t>Это не титульник
Покрупнее все
Добавить тестирование</t>
  </si>
  <si>
    <t>Чернова - Кто-то до Вас подобное делал?
Чернова - Публикация кода была согласована с заказчиком?</t>
  </si>
  <si>
    <t>Много текста
Слайды 6 7 перегружены, 8 плохо видно
Добавить акт о внедрение на презентацию</t>
  </si>
  <si>
    <t>Лукин - Почему именно питон?
Федоров - Какие конкретно у Вас веса?</t>
  </si>
  <si>
    <t>Тема некорректно сформулирована относительно цели (Чернова)
Переделать результаты (уточнить) (Чернова)
Архитектуру переделать и подписать стрелочки
Добавить формулу вектора (Федоров)
Сказать что конкретно оптимизируете</t>
  </si>
  <si>
    <t>Лукин - Не понятно в чем задача.
Лукин - Что является исходниками для пионерской песни барабанщика?
Федоров - Почему отказались от миди в пользу своего варианта?</t>
  </si>
  <si>
    <t>Титульник
Демонстрации не видно
Нет сравнения с аналогами</t>
  </si>
  <si>
    <t>Лукин - Почему С++?</t>
  </si>
  <si>
    <t>Архитектура - лучше углубиться в программирование
Переписать результаты</t>
  </si>
  <si>
    <t>Лукин - Вы сами разработали данный проект?</t>
  </si>
  <si>
    <t>Ублать источники (Чернова)</t>
  </si>
  <si>
    <t>Лукин - Как выглядит сам тест? Что значит проверка кода?
Федоров - Учитывается что могут закинуть бомбу?</t>
  </si>
  <si>
    <t>Вышел за время совсем, не успел вообще до конца рассказать!!!
Фокус презентации не ясен (Филимонов)
В репозиторий много кода, но по презентации доклада 2 (Филимонов)
Актуальность переписать</t>
  </si>
  <si>
    <t>Лукин - Какая связь цели и задачи по отказоустойчивости?
Филимонов - Каким методом задачу решали? Сами решели или использовали какой-то код?
Филимонов - Смешанность в чем выражена?
Как связаны микросервисы и линейной программирование? По вашему масштабируемость достигается микросервисами?
Филимонов - Что такое лишние ресурсы?
Филимонов - Что понимается под отказоустойчивостью?</t>
  </si>
  <si>
    <t>Архитектура и сразу результат, а что сделал-то (Лукин) А после результата тестирование
Микросервисы не нужны в этой теме
Результатов конкретных нет, вместо этого выводы</t>
  </si>
  <si>
    <t>Безопасность при разработке кода: анализ SAST, встраивание проверок до стадии сборки в конвейере CI/CD</t>
  </si>
  <si>
    <t>Читает с презентации вообще не смотря в аудиторию
Нумерацию крупнее, вообще не видно 
Написать выводы</t>
  </si>
  <si>
    <t>Титульник
Слайд 5 не подписан и лучше разделить на 2</t>
  </si>
  <si>
    <t>Северина - Какое уравнение состояния использовали?</t>
  </si>
  <si>
    <t>Нумерация
Формулы мелкие, можно и покрупнее было бы, и весь шрифт тоже
Код? Взял все готовое: модель, иностранную программу визуализацию. Говорит построил рассчетную сетку и вычисления
Не понятно что сделано и сделано ли вообще (Филимонов)</t>
  </si>
  <si>
    <t>Кубраков Что Ваша работа дает?</t>
  </si>
  <si>
    <t xml:space="preserve">Нумерацию покрупнее (иногда пропадает)
Много текста
</t>
  </si>
  <si>
    <t>Кубраков - Какая область деятельности и для чего Ваша работа?</t>
  </si>
  <si>
    <t>Титульник, Нумерация, Выводов нет , Названий нет
По презентации - 2 (Даже 2 много для этого)
Код? (код научного руководителя, не понятно что по работе сам сделал)</t>
  </si>
  <si>
    <t>Можно покрупнее
Громче говорить
Замахнулся на докторскую (Кубраков) Переформулировать актуальность</t>
  </si>
  <si>
    <t>Филимонов - Откуда возникают рекомендации?</t>
  </si>
  <si>
    <t>Архитектуру крупнее и не на цветном
Русифицировать (приложение чисто на английском)</t>
  </si>
  <si>
    <t>Размер слайдов скаачет, Нумерацию крупнее, Формулы крупнее
Де- и рас- шифрование - разные вещи!
Прописать цель
Научный вклад убрать из актуальности</t>
  </si>
  <si>
    <t>Нумерацию крупнее
Порядок поменять цель, актуальность, задачи
Переписать актуальноть
Архитектуру переделать</t>
  </si>
  <si>
    <t>Филимонов - Какой физический смысл?</t>
  </si>
  <si>
    <t>Нумерацию покрупнее
Странный код (Филимонов)</t>
  </si>
  <si>
    <t>Филимонов - В чем автоматизированность сборки отчетов?
Кубраков - Где проект системы?
Кубраков - Разработать конкретно какую систему?
Кубраков - Разработать какой интерфейс?</t>
  </si>
  <si>
    <t>ЛК нет, выгрузка по студенту
На гите только sql файлы (Филимонов)</t>
  </si>
  <si>
    <t>Кубраков - Что такое ценность?</t>
  </si>
  <si>
    <t>Чёрная презентация, Нумерации нет, Вообще ничего не видно - мелко и цвета
Преувеичения "колоссально"
Презентация - 2 (код чести и вроде хороший (Филимонов))</t>
  </si>
  <si>
    <t>Филимонов - Что означает оптимальный? Наиболее оптимальный.</t>
  </si>
  <si>
    <t>Архитектура мелкая
"как можно видеть" ничего не видно</t>
  </si>
  <si>
    <t>Кубраков - Какие алгоритмы были реализованы и чем тот или иной хуже или лучше?
Кубраков - Инструкция есть?</t>
  </si>
  <si>
    <t>Добавить скорости работы
Вместо протокол лучше процедура
Убрать слайд входа (Кубраков)</t>
  </si>
  <si>
    <t>Архитектуры не видно и цветная
Мелко на демонстрации
7 слайд входа не нужен</t>
  </si>
  <si>
    <t>Кубраков - Для кого Ваша работа?
Чернова - Есть ли заказчик?
Кубраков - Где математическая модель подбора параметров?</t>
  </si>
  <si>
    <t>Много текста
Автоматизации нет (Ирбитский)
Не сформулирована предметная область
Переработать всю работу с руководителем (Кубраков)</t>
  </si>
  <si>
    <t>Нумерация
Легенду карты побольше
Вылез за время 
Заключение добавить</t>
  </si>
  <si>
    <t>Нумерацию крупнее
Оптимизирование - убрать (Ирбитский)
Переписать результаты и разбить на слайды</t>
  </si>
  <si>
    <t>оформить репозиторий нормально
добавить</t>
  </si>
  <si>
    <t>Откуда была взята метрика потери на 6 слайде?
разделить метрики на 2 слайда
как былы подобраны значения?
много белого места на 7 слайде?
архитектуру сделать по больше, убрать цвет
упомянуть о том, что это задача от партнера
сократить доклад на 2 минуты</t>
  </si>
  <si>
    <t xml:space="preserve">проконсультироваться с кем-нибудь по поводу слайда с математикой
что является результатом?
работа новит теоритический характер?
вы рассматривали теорему декомпозиции ошиьбки?
что в вашем понимании метод удаления шумов?
</t>
  </si>
  <si>
    <t xml:space="preserve">никак не представлена модель
поработать с презентацией
нет архитектуры
</t>
  </si>
  <si>
    <t xml:space="preserve">какие то српвнения со старыми аналогами проводились?
изучали ли техническую базу этих аппаратов?
</t>
  </si>
  <si>
    <t xml:space="preserve">не нужен продольный срез
какие еще графики были?
нужна консультация с руководителем
каким методом интегрировали уровнение?
</t>
  </si>
  <si>
    <t xml:space="preserve">что представленьо на 6 слайде?
это этапы выполнения ВКР или алгоритма?
перенести слайд с заключениями в конец
</t>
  </si>
  <si>
    <t>что понимается под нагрузкой в работе?
В чем нагрузка?</t>
  </si>
  <si>
    <t>Система прогнозирования изменения границ арктического морского льда на основе мониторинга миграции животных</t>
  </si>
  <si>
    <t>Разработка методики мониторинга действий операторов в процессах формирования и закладки командно-программной информации при управлении космическими аппаратами</t>
  </si>
  <si>
    <t>Филимонов - Были ли какие-то публикации?
Филимонов - Почему на 16 слайде так резко отражены линии?
Филимонов - Что такое модель классификации животных?</t>
  </si>
  <si>
    <t>Это не архитектура
Больше говорить про саму работу, а не общие положения</t>
  </si>
  <si>
    <t>Лукин - Что показывает программа?
Филимонов - Есть ли статьи по этой теме?</t>
  </si>
  <si>
    <t>Много текста в начале, цвета (вышел за время на полминуты)
Плохие Слайды (Лукин)
Примитивная БД (Лукин)
Перенести и переназвать Слайд по внедрение (Филимонов)
2 слайд не нужен и 6 (Филимонов)</t>
  </si>
  <si>
    <t>Лукин - Для чего эта работа нужна?
Судаков - А почему не llm?</t>
  </si>
  <si>
    <t>Можно дополнить (выступал 6мин)</t>
  </si>
  <si>
    <t>Лукин - Что такое современное эффективное обучение?
Филимонов - Есть ли сстатьи?</t>
  </si>
  <si>
    <t>Мелкая архитектура
Ужасно тараторит (Лукин)
Много времени ушло на стек</t>
  </si>
  <si>
    <t>Гаврилов - Как зависит качество от количества и качества сегментов?
Гаврилов - Как происходит разбивка на сегменты?
Гидаспов - Разбор только по ОДК идёт или более детально?</t>
  </si>
  <si>
    <t>Некоторые вещи чуть крупнее, описание переменых в формула (вышел за время полностью)
Добавить сравнение с аналогами</t>
  </si>
  <si>
    <t>Стрижак - Объект движется или нет?
Стрижак - Учитывается ли местность (рельеф, строения)?
Стрижак - Что такое rans? Что содержит?
Гидаспов - Какие основные выбросы и кто их создает?
Гаврилов - В чем суть каждого метода моделирования из представленных? В чем разница?</t>
  </si>
  <si>
    <t>Некоторые вещи чуть крупнее (практически все)
Это не архитектура
Добавить математическую модель (защитилась за 6мин где-то, соответственно время есть)</t>
  </si>
  <si>
    <t>Гаврилов - Раньше было не автоматизировано? Исключает ли Ваше решение ошибки?
Гидаспов - Один ли Вы создавали систему?
Стрижак - Ваша модель объединяет модели динамики воздушного судна?</t>
  </si>
  <si>
    <t>Нумерация, Некоторые вещи чуть крупнее, Титульник (у этой группы вообще с ними беда, но этот прям совсем кошмар), Некоторые картинки не читаемые
"Мы видим" - не видно)
Кода НЕТ (забыл вставить) (выяснили - оборонка, поэтому надо вставить акт о внедрение или что-то такое)</t>
  </si>
  <si>
    <t>Гаврилов - Есть ли сравнения с готовыми пакетами?
Гаврилов - Было проведено сравнение только с тестовыми данными?</t>
  </si>
  <si>
    <t>(Откуда у некоторых какой-то шаблон с самолётом и облаками... Иногда какие-то вещи не видно)
Некоторые вещи крупнее, Описание переменных в формулах
QR в конец перенести (2 года назад последний коммит, ещё не пушил) Что-то править ещё будет</t>
  </si>
  <si>
    <t>Гаврилов - Каких данных? (В названии нет про энергетики)
Гаврилов - Тень имеется ввиду число?</t>
  </si>
  <si>
    <t>Некоторые вещи чуть крупнее, Актуальность чуть меньше, Переделать архитектуру (вышел за время на минуту)
Нет конкретных Выводов (слайда)
Некорректно название, не понятно о чем речь (лучше поменять) (комиссия единогласна)</t>
  </si>
  <si>
    <t>Гаврилов - Что такое Лог?
Гаврилов - Информация о полете или технических характеристиках БПЛА?
Гаврилов - Какие конкретно методы обучения используете?
Гидаспов - Почему вероятность проблем 49,5%, но при этом полет успешен?
Кондаратцев - Является ли Ваша работа частью большого проекта?</t>
  </si>
  <si>
    <t>Защитилась за 5:30
Архитектуры нет
Добавить слайд про модели
Можно добавить про развитие
ПОГОВОРИТЬ с науч. рук.
Рекомендуется сменить название</t>
  </si>
  <si>
    <t>В чем новизна?
В чем преимущество над "дали 3"</t>
  </si>
  <si>
    <t>Происходит ли в реальном времени?
Как определяется эффективность?
Как используется LSTM?</t>
  </si>
  <si>
    <t>Одинаковые ли были параметры?
Сколько каналов в сигнале?</t>
  </si>
  <si>
    <t>Что изобрпажено на 8 слайде
Где сравнение с аналогами?
Что с нагрузкой?
Переделать 8 слайд</t>
  </si>
  <si>
    <t xml:space="preserve">Добавить нумерацию слайдов
поменять название слайда образ результата
</t>
  </si>
  <si>
    <t>Поправить последний слайд
добавить реальное ит-решение
убрать из выступления лова -жаргоны
Как цель соответствует теме?</t>
  </si>
  <si>
    <t xml:space="preserve">Полезная инфомваация это набор примитивных команд?
Структурировать рассказ
</t>
  </si>
  <si>
    <t>добавить нумерацию слайдов
переделать архитектуру
убратьтеоритическую часть
как проверяли эффективность ЛЛМ?
что такое мониторинг?
каким образом показано, что необходимые компоненты реалзован?</t>
  </si>
  <si>
    <t xml:space="preserve">что дело вами с точки зрения науки?
Какакя научная новизна в вашей работе?
</t>
  </si>
  <si>
    <t>сократить презентацию
убрать слайд с очками
где показан метод адаптивного трекинга?
Что дает вам основание называть эту последовательность именно методом?
В чем противоречие между метом отслеживания? 
пересмотреть работу</t>
  </si>
  <si>
    <t xml:space="preserve">что за данные?
неккоректные данные это какие?
</t>
  </si>
  <si>
    <t xml:space="preserve">общались ли с консультантом?
каким образом ваш результат соответствует целе и теме?
Что такое технология?
зачем это Т1?
</t>
  </si>
  <si>
    <t>Используются ли элементы ИИ в этих тренажерах?
Для какого самолета делали?
Есть ли акт о внедрении?</t>
  </si>
  <si>
    <t xml:space="preserve">в чем новизна подхода?
хорошая работа
откуда данные?
какие типы БПЛА?
</t>
  </si>
  <si>
    <t>Куравский - Обучали уже готовые наборы данных?
Куравский - Сами трансформеры брали готовые?
Куравский - Ваша работа в чем заключалась?
Тихонов - Что-то ещё для визуализации пробовали?
Тихонов - Чем сжимал эмбединги?
Тихонов - Какая сбалансированность классов?
Ухов - Какие примеры промтов?</t>
  </si>
  <si>
    <t>Почему выбрали именно эти модели? 
Есть идеи как улучшить модель?</t>
  </si>
  <si>
    <t>8 слайд сделать в виде таблицы. 
На 6 слайде показать основные цифры. 
Добавить слайд по дальнейшей работе.</t>
  </si>
  <si>
    <t>Сформулируйте прикладное значение вашей разработки</t>
  </si>
  <si>
    <t>7 подписи данных нужно привести в соответствии с типами почв.
8 - расшифруйте компоненты уравнения переноса.
9 - выше 8000 время не имеет значения нужно изменить масштаб графика
10 - почему не взяли больший интервал или меньшую глубину?
11 - глубину до 60, далее наверное не нужно, т.к. там константы.
из выступления непонятно какие параметры в уравнении переноса были заменены нейросетевымы частями
какие признаки для почв были закодированы (наверно нужно привести таблицу того что вы кодируете).
14 - функции потерь увеличить шаг, не до конца понятно как она по эпохам менялась.
общее замечание, возможно тип почвы имело смысл кодировать признаками физических параметров почвы.
а вот на 16 теперь видно какой компонент был в уравнении заменен.
отсутствует ссылка на код решения и репозитарий!</t>
  </si>
  <si>
    <t>Какая прикладная значимость вашей разработки? 
Где может использоваться ваша разработка? 
Исследования ли аналоги? 
Чем ваше решение лучше? 
Пока это только веб решение? 
Как осуществляется преобразование? 
Почему была выбрана именно эта модель?</t>
  </si>
  <si>
    <t>как вы делили на чанки?
Один чанк это какая сцщность в вашей работе?
В рагасе какая используется ЛЛМ?
Какую векторнуюбазу данных вы используете? Почему именно она?
Видеозапись может быть любого формата?</t>
  </si>
  <si>
    <t>Что такое ансамбль в вашей работе?
Рассматривали ли вы другие модели?
Шафлили вы датасет при обучении?
Думалили вы том, что бы добавлять аналитические данные в датасет?</t>
  </si>
  <si>
    <t>тестировали ли вы систему, когда в нее загружается фото, не такое как в поисковых группах?
реализовывали ли вы интеграцию с соц сетями?
сравнивали ли вы с аналогами?</t>
  </si>
  <si>
    <t>продумывал ли ли какие-то защиты?
аналзирова ли существющие аналоги? Чем ваше решение лучше?
можете охарактеризовать контрольную и экспериментальную группы?</t>
  </si>
  <si>
    <t xml:space="preserve">в чем новизна?
сравнивали ли аналоги?
были публикации по теме работы?
</t>
  </si>
  <si>
    <t xml:space="preserve">почему была выбрана именно эта модель?
пробовли ли другие модели?
</t>
  </si>
  <si>
    <t>Зимин Евгений Евгеньевич (отметить)</t>
  </si>
  <si>
    <t xml:space="preserve">Ухов. Датасет у вас синтетический? Как он собирался
Ляпина. Работает модель только со статичными данными? Может ли обрабатывать поток данных?
</t>
  </si>
  <si>
    <t>Немного ускориться, доклад занял 13 минут.
5 слайд - много рассказываете про плюсы и минусы разных ML алгоритмов, но на слайде только бустинг (идеально добавить слайд сравнения алгоритмов).
8 слайд кривую per-recall лучше привести.
Работа выполнялась только на синтетике? На kaggle не удалось найти открытых датасетов?
Несколько не понятно как мы повышаем значимость признака смены зоны роуминга?
Скачки в пространстве - учтены ли перелеты на самолетах, например. Многие отключают мобильные телефоны перед вылетом и включают по прилете. Координаты аэропортов известны :)</t>
  </si>
  <si>
    <t>Ляпина. Как оценивалась "плохость" существующих решений
Давыдов. Почему такой маленький датасет? А зачем дообучать? Моет быть предобученная будет не хуже. Подбирались ли гиперпараметры</t>
  </si>
  <si>
    <t>Со слайдами нужно поработать - гиперпараметры и др. можно визуализировать более технично. Метрики оценки имеет смысл расшифровать, т.к. детали непонятны. Также желательно дополнить общую архитектуру решения. И демонстрации звуков не хватает для полного счастья. Послушать референс и генерацию 10 секунд было бы неплохо.
оформление репозитария нужно привести к нормальному виду.</t>
  </si>
  <si>
    <t>Ухов. Есть ли защита от фрода?
Давыдов. Какого рода собеседования? Выбраются конкретные вопросы из пула для конкретной должности. Чем ваше решение отличается от обычных LLM. Какие преимущества?
Ляпина. Как формулировался промпт?
Кондаратцев. Какие метрики у системы?</t>
  </si>
  <si>
    <t>Доклад занял 6 минут. Можно дополнить доклад. НЕ ЧИТАТЬ
Баранов Олег Андреевич:
4-5 слайды текст мелковат - можно шаблон вывода скорректировать. Т.е. не читаемо.
8 - заголовок наверное сравнение или выбор модели.
9 - также заголовок наверное выбор векторной базы данных.
11 заголовок также имеет смысл конкретизировать.
Не хватило демо работы фронтэнда... именно в части технич. собеседования.</t>
  </si>
  <si>
    <t>Ухов. По каким критериям вы отслеживаете трафик социальных сетей
Давыдов. На какой ошибке обучались бустинги. Другие модели рассматривали помимо случайного леса и catboost</t>
  </si>
  <si>
    <t>6 это все-таки не архитектура, а блок-схема алгоритма или работы системы. Архитектуру лучше по С4. 
8 слайд возможно лучше будет смотреться в виде таблицы, по типам контента например. с учетом метрик.
14 - лучше показывать сам дашборд, текстовый слайд избыточен.
Эффективность относительно других моделей не показали.</t>
  </si>
  <si>
    <t>Ухов: Идет оценка покрытия компилятора?
Ухов: Проводилось обучение LLM?
Ухов: Какой компилятор вы совершенствуете?</t>
  </si>
  <si>
    <t>Общая архитектура решения не представлена на слайдах. 6 слайд это скорее блок-схема решения. Желательно помимо алгоритма представить архитектуру (как развернуто и встроено в CI/CD компилятора видимо)ю 8 - метрики желательно расшифровать как они вычисляются.</t>
  </si>
  <si>
    <t xml:space="preserve">Ухов: Как оченивали метрики с помощью рагаса?
Ухов: Лекчии были на английском языке?
Ухов: Почему именно эта база данных?
</t>
  </si>
  <si>
    <t>Почему были выбраны Milvus и OpenSearch?
Какая модель была использована?
10 - возможно имеет смысл визуализировать это кроме консоли.
11 Как в RAGAS работали с русским языком?
11 - какие языки поддерживает система и какие на них показатели качества?</t>
  </si>
  <si>
    <t xml:space="preserve">Кондаратцев: Как работает фильтрация запроса?
Давыдов: Запросыподаются в ЛЛМ?
Давыдов: Есть ли какая-то защита?
Давыдов: Может ли пользователь оставлять какой-то фтбек?
Ляпина: Провадилась ли опрабация разработки кроме вас?
</t>
  </si>
  <si>
    <t>7 - и слайды до этого надо текст в блока крупнее (говорил вам об этом уже). Про модель Prophet не рассказали.</t>
  </si>
  <si>
    <t xml:space="preserve">Булакина: Можете привести конкретный пример прикладной задачи?
Ухов: Как размер выборки определить?
Ляпина: Ваша работа это часть какой-то работы?
</t>
  </si>
  <si>
    <t>Надо в аспирантуру</t>
  </si>
  <si>
    <t>Какие факторы (какие наборы данных - качественно) учитывались при прогнозировании? Для распознавания дыма спутники не требуются.
Предлагали ли вы результаты работы институту вулканологии?
Использовался SAR Sentinel-1? Влияет ли пепел на точность оценки геометрии склона? Какие параметры использовали из спутниковых данных?
Что на входе и выходе Resnet и трансформера? Что является таргетом? Именно признак извержения? Пепел?</t>
  </si>
  <si>
    <t>Замечания по презентации в ЛМС
Нумерация слайдов!
Архитектуру лучше изобразить в стандартной нотации (сейчас слайд скорее выглядит как использованные решения).</t>
  </si>
  <si>
    <t>Ляпина: Как вы получили данные?
Давыдов: Какую награду получал агент?
Давыдов: Есть ли необходимость подсчитывать контейнеры?
Давыдов: Проводился ли какой-то ресерч по алгаритму?
Давыдов: Сколько всего контейнеров?</t>
  </si>
  <si>
    <t>Кондаратцев - Раньше не было исследований по данной теме?
Кондаратцев - Откуда взяты документы?
Булакина - Какая предметная область?
Сошников - Как при использовании DeepSeek as a Judge определялась Image Context Relevancy?
Сошников - На сколько RAG над текстовыми описаниями хуже полноценной мультимодальности?</t>
  </si>
  <si>
    <t>Архитектуру крупнее, в основном читает, 14 слайд цвета
Титульник, Актуальность переделать, Убрать жаргонизмы</t>
  </si>
  <si>
    <t>Стрижак - Что входит в датасет? Откуда его взяли?
Стрижак - Делали что-то дополнительное для обработки SAR изображений?
Стрижак - Есть ли отличие SAR от классических снимков?
Сошников - YOLO обучали с 0 или как?</t>
  </si>
  <si>
    <t>Некоторые вещи крупнее (все), НУМЕРАЦИЯ, нир?
Добавить слайд что сделали с изменением архитектуры</t>
  </si>
  <si>
    <t>Кондаратцев - На что уходит 30мин?
Кондаратцев - Что нужно делать руками?
Кондаратцев - Откуда взят дэм?
Кондаратцев - Что такое стилизация?
Сошников - Вы показываете лес, а что если будет город?</t>
  </si>
  <si>
    <t>7 слайд БД не видно совсем, защитилась за 6:20мин, Гит лучше черным сделать
Добавить пояснения к метрикам, 12 слайд переделать</t>
  </si>
  <si>
    <t>Кондаратцев - Какая языковая модель использовалась?
Кондаратцев - Какого объема был трансформер?
Стрижак - Что за датасет и что он в себя включает?
Сошников - Использовали такенизацию по словам? Не может ли это искусственно занизить качество трансформера?
Кондаратцев - Сколько времени обучалось? На какой карте?</t>
  </si>
  <si>
    <t>НУМЕРАЦИЯ, гит в конец
Добавить архитектуру трансформера</t>
  </si>
  <si>
    <t>Кондаратцев - Откуда взята тема?
Кондаратцев - Что за данные?
Кондаратцев - Какой период?
Стрижак - Где физически находится РТС?
Стрижак - Что в итоге является результатом?</t>
  </si>
  <si>
    <t>Код? - акт о внедрении есть, но не приложил, защитился за 6мин
Показать в начале какой это космический аппарат, рассказать про данные</t>
  </si>
  <si>
    <t>Кондаратцев - Какую нейросеть используете?
Кондаратцев - Почему именно F1?</t>
  </si>
  <si>
    <t>Руководителю звание добавить, архитектуру крупнее
Больше про саму нейросеть рассказать, Добавить демонстрации</t>
  </si>
  <si>
    <t>Кондаратцев - Что имеется ввиду под координатной плоскостью?
Кондаратцев - Почему именно YOLO?</t>
  </si>
  <si>
    <t>Нумерацию крупнее, вышел за время на минуту, код-ошибка 404</t>
  </si>
  <si>
    <t>Кондаратцев - Откуда KNN?
Кондаратцев - Что за transformer использовался?
Кондаратцев - Какие признаки больше всего влияли?
Кондаратцев - Занимались генерацией новых признаков?
Стрижак - Вы принимали участие в испытаниях?
Кондаратцев - На каком языке обучали?</t>
  </si>
  <si>
    <t>16 слайд крупнее, 17 слайд не видно (инверсию цветов?)
14 слайд подсвятить лучшие модели, Добавить интерпритируемость</t>
  </si>
  <si>
    <t>Кондаратцев - Попадает ли классификация в результат?
Кондаратцев - Как выглядит предсказание?
Булакина - В чем научная новизна?
Булакина - Что такое методология?</t>
  </si>
  <si>
    <t>НУМЕРАЦИЯ, вторая итерация крупнее
Не говорить про друга), Сказать про метрики (какие нужны мощности)</t>
  </si>
  <si>
    <t>Кондаратцев - Важность признаков Catboost как подсчитывали?
Кондаратцев - Поле каково характерного размера? Учитывалась площадь поля?
Кондаратцев - Как выражается урожайность?
Стрижак - Какая территория исследовалась?
Стрижак - На сколько данные достоверны?</t>
  </si>
  <si>
    <t>Титульник, читает (все время стоит и смотрит на стенку), схему работы крупнее
Перерисовать схему работы,</t>
  </si>
  <si>
    <t>Кондаратцев - Какой датасет использовали?
Кондаратцев - Где находите слова?
Кондаратцев - Что такое аудиозамена?</t>
  </si>
  <si>
    <t>Весь текст можно крупнее, Архитектуру крупнее,</t>
  </si>
  <si>
    <t>Кондаратцев - Какие условия маршрута? Какое итоговое решение? Что такое путь? Какие точки допустимы? Как строится маршрут?</t>
  </si>
  <si>
    <t>Титульник, читает, защитился за 6 мин
Переделать 9 слайд</t>
  </si>
  <si>
    <t>Крылов - Что такое NO_x? Чем они плохие?
Крылов - Влияет ли влажность воздуха?
Булакина - Сколько было рассмотренно ТЭЦ?</t>
  </si>
  <si>
    <t>QR в конец, читает
Переименовать некоторые слайды</t>
  </si>
  <si>
    <t>ГОСТ</t>
  </si>
  <si>
    <t>Антиплагиат</t>
  </si>
  <si>
    <t>Куравский - Как организовано взаимодействие пользователя с системой?
Куравский - В чем полезный вклад в систему?
Куравский - Подаются ли статистические данные самолета?
Куравский - Были ли попытки формализовать?
Шелухин - По какому параметр идёт нормализация?
Шелухин - Почему у всех RestAPI, но у одного JRPC?</t>
  </si>
  <si>
    <t>QR не работает
Консультант Ильченко</t>
  </si>
  <si>
    <t>Отправлено на доработку</t>
  </si>
  <si>
    <t>Прислал</t>
  </si>
  <si>
    <t>Куравский - В чем проявляется ассинхронность?
Куравский - Были попытки сделать математическую модель?
Куравский - Какие перспективы работы?
Булакина - Покажите пример прикладной задачи? Где можно это использовать?
Булакина - Как в Вашей системе организован процесс логирования?
Шелухин - В чем задача менеджера обработчиков?
Давыдов - Сколько контейнеров?</t>
  </si>
  <si>
    <t>Все хорошо</t>
  </si>
  <si>
    <t>Куравский - Цель анализа прогнозирования временных рядов?
Куравский - Что понимается под коэффициентом детерминации?
Куравский - Пробовали сделать предсказания классическим методом авторегрессии?
Давыдов - Какие признаки использовали в датасетах?
Давыдов - Учитывается сезонность?
Давыдов - На слайде 12 по каким конкретно метрикам выбирается лучшая модель?</t>
  </si>
  <si>
    <t>Куравский - На 8 слайде что такое x_i? S_i?
Куравский - Приведите пример прикладной задачи где это может быть использовано?
Шелухин - Типы входных задач разные для разных моделей?
Булакина - Что является результатом анализа?</t>
  </si>
  <si>
    <t>Куравский - Может ли система использоваться для отслеживания аномальных действий пользователя?
Куравский - Использовались количественные кретерии?
Шелухин - Какие исходные данные отправляются для тепловой карты?
Шелухин - Как передаются координаты при разном разрешении интерфейса? Как понять что это одно и то же место на сайте?
Шелухин - Как работает нормализация?
Булакина - Какие функциональные и не функциональные требования?</t>
  </si>
  <si>
    <t>Куравский - Есть ли аналоги?
Куравский - Что используется в качестве решателя?
Куравский - Есть ли исследование на единственность решения?
Куравский - Как решаете целочисленную задачу?
Куравский - Как меняется чувствительность при изменении параметров?
Куравский - Использовали где-то симплекс-метод?</t>
  </si>
  <si>
    <t>Куравский - Почему байесовская фильтрация?
Мазаев - Что выгоднее: вклад держать или систему использовать? Где больше заработать можно?
Булакина - Откуда появилась тема?
Шелухин - Объясните направление стрелок на 5 слайде?</t>
  </si>
  <si>
    <t>Куравский - Как задаётся сущность?
Куравский - Кретерий оценки эффективности?
Куравский - Учитываете ли процент ошибок?
Куравский - Выборка сущностей Как проводилась?
Мазаев - Почему не сравнивали с более новыми моделями?
Мазаев - Какой объем текста?</t>
  </si>
  <si>
    <t>Куравский - Присутствует алгоритм генерации шума?
Куравский - В чем выражается направление шума?
Куравский - Можно ли встроить в какую-то среду разработки?
Куравский - Что является результатом работы?
Шелухин - Какие-то ограничения для генерации можно задавать?
Давыдов - Объясните когда генерирует шум Перлина?
Давыдов - За счёт чего достигается бесшовность между чанками?</t>
  </si>
  <si>
    <t>Куравский - Что понималось под словом анализ?
Куравский - Какие перспективы для внедрения?
Куравский - Есть ли новизна?
Мазаев - На каких ресурса запускали?
Мазаев - В чем отличие PostgreSQL и ClickHouse?</t>
  </si>
  <si>
    <t>Куравский - Оно уже внедрено в систему Wildberris?
Шелухин - Между собой эти задачи связаны?
Шелухин - Ваша система разворачивается в рамках 1 контейнера?
Куравский - Что такое паттерны?
Куравский - Была ли новизна?
Булакина - Кто является пользователям Вашей системы?
Давыдов - Не пострадало ли время выполнения из-за оптимизации?</t>
  </si>
  <si>
    <t>Куравский - Кто собирает заказ?
Куравский - Какие аналоги есть?
Куравский - Какие преимущества у малого бизнеса чтобы пользоваться именно Вашим приложением?
Булакина - По каким кретериям и функциональным возможностям сравнивали С аналогами?
Булакина - Существует ли документация к Вашей разработке?</t>
  </si>
  <si>
    <t>Куравский - Что является результатом решения задачи оптимизации?
Куравский - Для работников на конкретных узлах можно ли понять из решения задачи все объемы?
Куравский - Сколько в кретерии переменных, которые подлежат оптимизации?
Давыдов - Вы проводили тестирование? Откуда данные?
Давыдов - Про какие-то медоды машинного обучения думали?</t>
  </si>
  <si>
    <t>Куравский - Есть ли что-то что отличает от аналогов?
Куравский - Какие элементы новизны?
Шелухин - В чем заключается обработка ошибок?
Шелухин - В чем заключается безопасная аутентификация?
Мазаев - Чего не хватает чтобы внедрить систему?
Мазаев - Как понимать что приложение упало?
Мазаев - Что нужно добавить чтобы понимать, что приложение упало?</t>
  </si>
  <si>
    <t>Куравский - Как система выясняет кто конфликтный?
Куравский - На основании каких параметров делаете оценки?
Куравский - Кто является пользователем?
Куравский - Вы инициатор постановки задачи?</t>
  </si>
  <si>
    <t>Куравский - Размечались графика с несколькими зависимостями?
Крылов - Какие ограничения наклабывались на линии графика?
Крылов - Почему на 13 слайде где-то ломаная, а где-то гладкая?
Шелухин - Что на 13 слайде значит p3?
Шелухин - На каком этапе распознаете шкалы?
Мазаев - Подбирал пороговое значение для отсечения точек?
Куравский - Почему именно YOLO?</t>
  </si>
  <si>
    <t>Куравский - Откуда брали данные?
Куравский - Это новое решение?
Мазаев - Что такое зукипер?
Мазаев - Какая версия Kafka?</t>
  </si>
  <si>
    <t>Куравский - Где матрица управления? Почему она занулена?
Куравский - Вы сами реализовывали фильтр Калмана?
Куравский - Зачем нейронная сеть?
Мазаев - Почему именно такая версия YOLO?
Куравский - В чем основная идея применения фильтра Калмана?</t>
  </si>
  <si>
    <t>Куравский - Что является результатом рассчетов?
Куравский - Как связывает трещины с визуализацией?
Куравский - Вы считаете и напряжение, и перемещение?
Куравский - Какое время рассчетов?
Куравский - Как обосновывайте выбранный метод?</t>
  </si>
  <si>
    <t>Шелухин - Какой процент Вашего участия в проекте?
Булакина - Какие сервисы и возможности подключены?</t>
  </si>
  <si>
    <t>Куравский - Что представляет функционал карт глубины?
Куравский - Что на входе и на выходе у нейросетей?
Куравский - Какого типа беспилотник?
Крылов - Что из себя представляет виртуальный полигон?
Крылов - В чем заключалась доработка полигонов?</t>
  </si>
  <si>
    <t>Очень мелкий текст</t>
  </si>
  <si>
    <t>Куравский - Ранжирование по эффективности делали?
Куравский - Что понимается под импульсный решением?
Булакина - В контексте Вашей работы что понимается под изображением?</t>
  </si>
  <si>
    <t>Не титульник</t>
  </si>
  <si>
    <t>Куравский - Обработка делается не в режиме реального времени?
Куравский - Какой метод использовался для удаления облаков?
Куравский - Какие-то количественные оценки эффективности есть?
Куравский - Какие перспективы развития?
Крылов - Как происходит валидация индексов?</t>
  </si>
  <si>
    <t>Архитектуру не видно</t>
  </si>
  <si>
    <t>Не прислал</t>
  </si>
  <si>
    <t>Куравский - Использовали несколько методов и сравнивали?
Куравский - Поясните метрики по которым сравнивали модели?
Куравский - Сколько данных было?</t>
  </si>
  <si>
    <t>Куравский - Что такое тест Нильсена?
Куравский - Рассматривается ли Айтрекинг в будущем?</t>
  </si>
  <si>
    <t>QR в конец, а то её прервали и она Заключение не рассказала</t>
  </si>
  <si>
    <t>Куравский - Что связывает дифференциальное уравнение?
Куравский - На каких объектах пробовали?
Куравский - Количественные кретерии для оценки эффективности были?
Куравский - При чем здесь нейроны?</t>
  </si>
  <si>
    <t>Куравский - На что накладывается на шум?
Куравский - Сами объекты где шум возникает какие?
Куравский - Что делает Ваш аппарат с шумом?
Куравский - На практике где-то применялось?
Куравский - Откуда брали данные?</t>
  </si>
  <si>
    <t>Мелкий текст</t>
  </si>
  <si>
    <t>Куравский - Какая мотивация выбора?
Куравский - Какие преимущества выбора?
Куравский - Запросы, которые делаются к ассистенту, свободны?
Куравский - Вопросы, которые задают пользователи, отличаются от вопросов специалистов?
Куравский - На выходе что?
Куравский - Какие ошибки в ответах бывают?
Куравский - Какой ответ будет в случае отсутствия информации?
Куравский - Есть ли галлюцинации?
Крылов - Если в документации произошло обновление, то что делать в такой ситуации?
Булакина - Как модель обрабатывает ненормативную лексику?
Куравский - Что будет делать, если пользователь просит количественные ответ?
Куравский - Какая трудоемкость релевантности?
Куравский - Генерировали код?
Куравский - В какой среде программировали?</t>
  </si>
  <si>
    <t>Куравский - На сколько велик порог вхождения?
Куравский - Формулы в тексте допускаются?
Куравский - Что на выходе?
Куравский - Существует несколько форматом ссылок, они все учитываются?
Булакина - Что понимаете под поддержкой ссылок?
Булакина - Если приложение ошибется, то кто несёт ответственность?
Булакина - Тестировали на других людях?</t>
  </si>
  <si>
    <t>readme не заполнен</t>
  </si>
  <si>
    <t>Куравский - Что является результатом анализа?
Куравский - Поясните вывод на 6 слайде.
Булакина - Что такое бэктестинг?
Булакина - Для чего используете streamlit?</t>
  </si>
  <si>
    <t>Куравский - Что понимаете под задачей маршрутизации?
Куравский - Вы проводили сравнение с классическим алгоритмом? Каким?
Куравский - Сравнивали с ещё какими-то алгоритмами?
Куравский - Какая размерность задачи?
Куравский - Обучение с подкреплением сами делали?
Тихонов - Как сравнивали с эталоном?
Тихонов - По времени сравнивали?
Булакина - На чем обучали?
Булакина - Откуда брали данные?</t>
  </si>
  <si>
    <t>Куравский - Интерактивные психологические инструменты - Что это?
Куравский - Как приложение влияют на заявленные результаты?
Куравский - Что даёт приложение?
Куравский - Показывали ещё каким-то психологам?
Куравский - Какой инструмент доказывает, что Ваше приложение что-то улучшает?
Булакина - Если есть кризисная ситуация и люди не хотят говорить, то как приложение в этом помогает?
Куравский - Сравнивали с интеллектуальные ассистентом?
Булакина - В каких ещё коллективах Ваше приложение могло бы быть полезным?</t>
  </si>
  <si>
    <t>Куравский - Какие есть аналоги?
Куравский - Интерфейс для какой категории пользователей предназначен?
Куравский - Предполагается в будущем усложнить интерфейс?</t>
  </si>
  <si>
    <t>Куравский - Почему поток пассажиров именно пуассоновский?
Куравский - Является ли марковским процессом?
Куравский - Назовите хотя бы одно допущение?
Куравский - Что является состоянием?
Куравский - Пробовали провести топологию?
Булакина - Где на 6 слайде блок досмотра багажа?
Булакина - Откуда брали данные?</t>
  </si>
  <si>
    <t>Куравский - Какое уравнение описывает процесс, который Вы исследовали?
Куравский - Что такое h на 4 слайде?
Куравский - Какие особенности ударной волны?
Куравский - Пользователь что вводит?
Куравский - Где-нибудь скачок давления представлен?</t>
  </si>
  <si>
    <t>Нет описания переменных формул</t>
  </si>
  <si>
    <t>Куравский - Что такое модель оценки вероятностных потерь?
Куравский - Эта модель в математической форме представима?
Булакина - Какие метрики соответствия бизнес модели?</t>
  </si>
  <si>
    <t>Куравский - Это уже использовалось в организации?
Куравский - Перспективы для внедрения есть?
Куравский - Какую часть делали самостоятельно?
Куравский - Что является ближайшим аналогов Вашего решения?</t>
  </si>
  <si>
    <t>Куравский - Какой предполагается уровень пользователя: программист или любой?
Куравский - У пользователя есть мотивация для использования?
Куравский - Какие ограничения у файлов?
Булакина - Запуск из командной строки не является барьером?
Тихонов - Инициатор и редактор - разные роли?</t>
  </si>
  <si>
    <t>Куравский - Если у пользователя нет необходимого ПО, что ему делать?
Куравский - Время решения какое?
Куравский - Что понимается под производственной средой?
Булакина - Поясните про метаграфы.
Булакина - Чем отличается от сетевой БД?</t>
  </si>
  <si>
    <t>Куравский - Кто клиент?
Куравский - Как полезно может быть использовано?
Булакина - Сами разрабатывал архитектуру?</t>
  </si>
  <si>
    <t>Не титульник
QR ошибка 404</t>
  </si>
  <si>
    <t>Куравский - Пробовали клеточный автомат?
Куравский - Откуда брали данные?
Куравский - Какие количественные кретерии использовали?
Куравский - Чем на графике объясняется яма?
Ляпина - Рассматривали другие заболевания?
Булакина - Какая актуальность?</t>
  </si>
  <si>
    <t>Нет слайда выводов
Оксфордское правительство</t>
  </si>
  <si>
    <t>Куравский - Как выполнялась генерация виртуального пользователя?
Куравский - Какие ограничения на устройства?
Булакина - Как реагирует на неисправность устройств?
Тихонов - Какая LLM была использована? Как-то дообучали?</t>
  </si>
  <si>
    <t>Нумерация безумно мелкая
Попросил удалить презентацию, тк корпоративный макет вшит</t>
  </si>
  <si>
    <t>Куравский - Откуда берутся вопросы?
Куравский - На чем пробовали систему?
Тихонов - Было ли сравнение с существующими решениями?
Ляпина - На сколько эффективно использование тестов для оценки компетенций? Какие есть альтернативы?</t>
  </si>
  <si>
    <t>Куравский - Кто является пользователем системы?
Куравский - Что видит пользователь?
Куравский - Работает только с аудиофайлами?
Тихонов - Сравнивали с существующими аналогами?</t>
  </si>
  <si>
    <t>Читает со стены</t>
  </si>
  <si>
    <t>Куравский - Что понимаете под когнитивный перегрузкой?
Куравский - Много ли действий должен сделать пользователь для задачи?
Куравский - Что вводит пользователь и что получает?
Булакина - Каким образом происходит классификация?
Булакина - Что система сама организовывает?
Ляпина - Как происходит сортировка? По каким кретериям система понимает, что задача является мусором?</t>
  </si>
  <si>
    <t>Куравский - Есть ли заказчик?
Куравский - Какие требования к уровню подготовки пользователя?
Мазаев - Что понимается под согласованностью?</t>
  </si>
  <si>
    <t>Куравский - Откуда взяли задачу?
Куравский - На сколько продолжительный опыт использования?
Булакина - На какой архитектуре организовано? Какие преимущества использования?</t>
  </si>
  <si>
    <t>Куравский - Какая мотивация данной разработки?
Куравский - Какие преимущества перед аналогами?
Куравский - Какие перспективы для дальнейшего использования?
Тихонов - Как формируются сообщения?</t>
  </si>
  <si>
    <t>Куравский - Какие методы используете?
Куравский - Какие методы оценки сложности?
Булакина - Расскажите про математическую постановку задачи?
Булакина - Что Вы оптимизируете?
Булакина - Что такое портфель проектов? Каким правилом он формируется?</t>
  </si>
  <si>
    <t>Куравский - В каких переменных на слайде 4 представлено количество коммивояжеров?
Куравский - Что является компонентами хромосом?
Булакина - Что такое фитнес-функция?
Тихонов - Другие способы рассматривали?</t>
  </si>
  <si>
    <t>Куравский - Промышленные используемые аналоги есть?
Куравский - Для кого предназначен вывод на слайде 8?
Куравский - Какой столбец является наиболее важным на 8 слайде?</t>
  </si>
  <si>
    <t>ЛОМАНЫЙ PDF, который нормально не открылся</t>
  </si>
  <si>
    <t>Вычислительная модель для расчёта термодинамических свойств метана</t>
  </si>
  <si>
    <t>Булакина - На 4 слайде с помощью чего нарисовано?
Крылов - В чем значимость данной работы?
Крылов - Какие были допущения?
Булакина - На чем написан бэкенд? Какая аннотация? В чем делаете контейнеризацию?
Давыдов - 9 слайд программно решается? Каким методом?</t>
  </si>
  <si>
    <t>Крылов - Почему выбрана такая тема?
Булакина - Изучали аналоги?
Булакина - Для чего диаграмма на 11 слайде?
Шелухин - Как происходит учёт группы, ведь он каждый год меняется?</t>
  </si>
  <si>
    <t>Булакина - Интерпритируйте последний пункт на 12 слайде.
Шелухин - Какая неизвестная на слайде 6 и какой тип этого уравнения?
Булакина - Какое прикладной значение Вашей работы?</t>
  </si>
  <si>
    <t>Чёрная презентация</t>
  </si>
  <si>
    <t>Шелухин - Миссии задаются только в рамках 1 поля?
Шелухин - В чем сложность построения маршрута, если поле однородное?
Шелухин - Где разворачивается система?
Шелухин - Какой уровень компетенций должен быть у пользователя?
Давыдов - В какой части сервиса находится симулятор? Что он делает?
Булакина - Какие пользовательский сценарии предусмотренны?</t>
  </si>
  <si>
    <t>Это не титульник</t>
  </si>
  <si>
    <t>Ляпина - Является ли программный модуль системой? Что понимается под системой?
Булакина - Уточните источники данных и как они выглядят?
Булакина - Какие размеры датасетов?
Булакина - В каком разрешении спутниковый снимки?
Шелухин - Какие площади территорий можете обрабатывать?
Шелухин - Какая производительность?
Шелухин - Можно ли в начале загрузить запрос и только потом данные?</t>
  </si>
  <si>
    <t>Шелухин - Почему в теме выделено "инфраструктурных компонентов"?
Шелухин - В чем отличие от аналогов?
Шелухин - В чем смысл "test_end"?</t>
  </si>
  <si>
    <t>Тихонов - Какая модель используется? Что это такое?
Тихонов - Из чего состоит трансформер?
Тихонов - Почему взята именно такая метрика?
Тихонов - Что делали с моделью? Какой объем?
Ляпина - Что такое интент?</t>
  </si>
  <si>
    <t>Тихонов - В чем суть автоматизации?
Шелухин - Текст представлен в виде изображения?</t>
  </si>
  <si>
    <t>Давыдов - Какие ещё аналоги есть? В чем преимущество Вашего решения?
Давыдов - Как происходит проверка решения?
Давыдов - Какие ошибки в решении может обрабатывать?
Шелухин - В каком виде возвращается результат?</t>
  </si>
  <si>
    <t>Ляпина - Как проверяли возможность масштабирования?
Тихонов - Для чего эта работа нужна? Какая актуальность? Какие прикладные задачи решает?
Тихонов - Почему именно такая технология выбрана?</t>
  </si>
  <si>
    <t>Булакина - Какие новые научные знания получены в ходе данной работы?
Мазаев - Какой смысл именно такой защиты?
Шелухин - Из чего состоит основной объем кода?
Шелухин - Как изменилось время ответа?</t>
  </si>
  <si>
    <t>Давыдов - Почему не использовали нейронные сети?
Мчедлишвилли - Сколько данных в тестовой выборке и сколько Использовали для обучения?
Мчедлишвилли - Коэффициенты это какие-то медицинские анализы?
Давыдов - Откуда взяли порог точности?
Давыдов - В чем научная новизна?
Ляпина - Откуда брали данные?</t>
  </si>
  <si>
    <t>Мчедлишвили - Есть ли лицензия на код?
Мчедлишвилли - Почему использовали именно такую БД?
Мчедлишвилли - Проводили стресс-тесты?
Ляпина - Какие есть аналоги и в чем преимущества?</t>
  </si>
  <si>
    <t>Давыдов - Почему выбрана именно такой алгоритм?
Мчедлишвилли - Что за линии на 7 слайде?
Давыдов - Сколько действий?
Давыдов - В каких диапазонах награда равна ценности?
Давыдов - Относительно предыдущих подходов в чем улучшения?
Ляпина - Как измеряли рациональность?</t>
  </si>
  <si>
    <t>Давыдов - Какие ещё метрики качества были?
Мчедлишвилли - Объясните что происходит на 9 слайде?</t>
  </si>
  <si>
    <t>Куравский - Пользователь пишет перевод?
Куравский - Какие элементы новизны?
Куравский - Каким образом выбирается задание?
Куравский - Учитывается ли многозначность перевода?
Куравский - Кто регулирует уровень трудности заданий?</t>
  </si>
  <si>
    <t>Куравский - Какая количественные метрика заложена?
Куравский - Какие шаги для анализа нового приложения?
Куравский - Что на входе и на выходе модели?
Куравский - Что оригинального было реализовано?
Куравский - Знаете ли Вы что такое Айтрекинг?</t>
  </si>
  <si>
    <t>Мчедлишвили - Есть ли документация?
Мчедлишвилли - Есть ли лицензия?
Мчедлишвилли - Кто заказчик?
Ляпина - Для чего Ваша разработка?</t>
  </si>
  <si>
    <t>Куравский - Проверяли гипотизы на значимость отличия от нуля?
Куравский - Снижали размерности?
Куравский - Что такое тензор?
Куравский - Использовали ли регрессионный анализ?</t>
  </si>
  <si>
    <t>Куравский - На слайде 12 что изображено?
Куравский - Считали коэффициент корреляции?
Куравский - Что на входе, что на выходе?
Куравский - Что понимается под бизнес-логикой?</t>
  </si>
  <si>
    <t>Куравский - Что такое многорукий бандит?
Куравский - Что является событием?
Куравский - Есть заказчик?
Куравский - Где может быть применение разработанный Вами аппарат?</t>
  </si>
  <si>
    <t>Куравский - Какие преимущества перед другими решениями?
Куравский - Имеются ли преимущества по времени?
Куравский - Кто является пользователем системы?
Куравский - Где можно использовать Ваше решение?</t>
  </si>
  <si>
    <t>Куравский - Какие преимущества Вашей системы?
Мазаев - Как тг бот обрабатывает Alert?
Булакина - Где происходит визуализация?
Булакина - Как реализованы визуализация?</t>
  </si>
  <si>
    <t>Куравский - Как Вы записываете логику предикатов?
Булакина - Сколько слоев в архитектуре?
Булакина - Где рисовали архитектуру?</t>
  </si>
  <si>
    <t>Булакина - Алгоритмы были разработаны с 0?
Булакина - Какие результаты тестирования?
Булакина - На чем тестировали?
Мазаев - Какие были линейные замеры?</t>
  </si>
  <si>
    <t>Куравский - Кто является пользователем и какие к нему требования?
Булакина - Документыцию создают вручную?
Куравский - Что является результатом работы?</t>
  </si>
  <si>
    <t>Куравский - Какой ещё математический аппарат использовали?
Куравский - Синтаксический анализ проводили?
Булакина - Можем ли делать смешанный словарь?</t>
  </si>
  <si>
    <t>Куравский - Какие уравнения указаны на 6 слайде?
Куравский - Как решали уравнения?
Куравский - Как определяется момент детонации?
Булакина - Откуда взяты уравнения?</t>
  </si>
  <si>
    <t>Куравский - Что является выходным параметром?
Куравский - Проводили значимость отличия от 0 в матрице корреляций?
Булакина - Поясните про используемые библиотекию
Мазаев - Чем обучали? Использовали другие модели?</t>
  </si>
  <si>
    <t>Куравский - Что оптимизировалось?
Куравский - Какой алгоритм оптимизации использовали?
Куравский - Какие методы ещё пробовали?</t>
  </si>
  <si>
    <t>Куравский - Графическая платформа связана с интерфейсом?
Куравский - Есть возможность редактирования?
Куравский - Где можно использовать?
Булакина - Тестировали интерфейс на выборке каких-то пользователей?</t>
  </si>
  <si>
    <t>Калинин - В чем новизна?
Калинин - Какие отличия от существующих аналогов?
Калилин - Каким образом формировалась выборка?
Калинин - Какая полнота данных?
Ляпина - Как ИНН влияет на банкротство?</t>
  </si>
  <si>
    <t>Калинин - Есть ли валидационный датасет?
Калинин - Поясните данные на 9 слайде.
Калинин - Какие значения точности у аналогов?
Булакина - Чем важна интерпритируемость?</t>
  </si>
  <si>
    <t>Руководитель Крылов</t>
  </si>
  <si>
    <t>Калинин - Что является результатом?
Калинин - Какое количество параметров?
Калинин - Какой объем?
Калинин - Почему именно нейронные сети?
Калинин - На сколько сокращается время работы?
Булакина - Существуют ли аналоги?</t>
  </si>
  <si>
    <t>Калинин - На какой выборке происходила оценка?
Калинин - Есть ли ограничение в ответах?
Калинин - Что произойдёт, если будет вопрос не по теме?
Калинин - Чем обусловлено выбор именно этих моделей?
Калинин - Попадает ли переписка под тайные связи или персональные данные?
Ляпина - Анализировали удовлетворенность пользователей?
Давыдов - Подразумевается ли связь с оператором?</t>
  </si>
  <si>
    <t>Калинин - Можете дать пояснения по архитектуре?
Калинин - Используется ли эта система в бою?
Калинин - Занимались ли вы рассылкой?
Калинин - Какие сценарии тестировались в нагрузочном тестировании?
Крылов - Чем обусловлен выбор темы?</t>
  </si>
  <si>
    <t>Оптимизация процессов загрузки и обработки датасетов в облачной ML-платформе на базе Kubernetes</t>
  </si>
  <si>
    <t>Булакина - Ваш личный вклад в исследование?
Ляпина - Как отреагирует модель, если содержание двух источников будет противоречиво?
Чайников - Кому принадлежат результаты на исследование?
Чайников - Как устроено описание картинок?
Чайников - Как устроен проверочный датасет?
Чайников - Проверяет ли человек качество ответов?
Стрижак - Кто составлял тестовые пары вопрос/ответ?</t>
  </si>
  <si>
    <t>Булакина - Кто является постановщиком задачи и какие перспективы развития?
Чайников - Что такое спеклошум?
Чайников - Сколько в сумме объектов в датасетах?
Чайников - Почему именно такое раз биение на тестовую и обучающую выборки?
Стрижак - Каким образом производилась оптимизация гиперпараметров?
Стрижак - Прокомментируйте касаемо SAR снимков российских спутников.
Стрижак - На разработку чего было затрачено больше всего времени?</t>
  </si>
  <si>
    <t>Чайников - Как рассчитывали цену работы?
Чайников - Каждый этап пайплайна сколько занимает?
Стрижак - С чего в итоге берутся снимки: БПЛА, Квадрокоптеры или спутники?
Стрижак - Что конкретно извлекаете из снимка?
Стрижак - Рассматривали дома?</t>
  </si>
  <si>
    <t>Булакина - Можете сформулировать практическую значимость?
Ляпина - Это была инициативная работа или будет где-то использоваться?
Стрижак - Почему выбрали имнно эти модели? 
Стрижак - Что в себя включает архитектура?</t>
  </si>
  <si>
    <t>Чайников - Работа по запросу конкретного заказчика?
Чайников - Есть ли механизмы оценки того, хорошо ли работает код?
Стрижак - Какой обьем работы был проделан и за какой срок?
Стрижак - Есть ли описание какого-то алгоритма?</t>
  </si>
  <si>
    <t xml:space="preserve">Булакина - Кто заказчик данной темы?
Булакина - Сформулируйте научную новизну вашей работы
Давыдов - Вы до обучали модель?
</t>
  </si>
  <si>
    <t>Чайников - Кому принадлежат права на проект?
Чайников - Что лежит на репозитории?
Чайников - Какой прирост у трафикдата?
Чайников - Что такое створа?
Чайников - Есть ли оценка вычислительной стоимости?
Стрижак - Рассматривалась ли Ит-архитектура?</t>
  </si>
  <si>
    <t>Ляпина - Форма детали как-то учитывается в вашей работе?
Стрижак - смотрели на динамику изменения метрик?
Стрижак - Вы проводили исследования оценки необходимых признаков? Как проводили это исследование?</t>
  </si>
  <si>
    <t>Чайников - Вы делаете торгового бота?
Чайников - Скользо заработает эта разработка, ставился ли этот вопрос?
Чайников - Как звучит конечный итог?
Ляпина - Выпроверяли новости на достоверность?
Стрижак - Вы проводили сравнения с аналогами?</t>
  </si>
  <si>
    <t xml:space="preserve">Чайников - Какие источники данных?
Чайников - Что такое код погоды?
Чайников - Что такое variety?
Стрижак - Что вы использовали в качестве источников для получения данных?
</t>
  </si>
  <si>
    <t xml:space="preserve">Чайников - Есть ли заказчик?
Чайников - какие метрики использовали?
Чайников - Какая доля будет запикана?
Чайниковм - Есть матрица ошибок?
</t>
  </si>
  <si>
    <t>Чайников - Откуда взяли датасет?
Стрижак - Что строиться на карте?
Стрижак - Как работает рекомендательная система? 
Булакина - Описана ли база знаний?</t>
  </si>
  <si>
    <t>Булакина - решение реальзовано в интересах тнашего супервычислителя?
Чайников - Как получены оценки?</t>
  </si>
  <si>
    <t xml:space="preserve">Чайников - Набор данных для сегментации состоит из 17 предложений?
Чайников - Почему 17 предложений достаточно для точности?
Ахмед- Почему не попробовать сравнить с векторным предстовлением, не будет ли быстрее? 
Ахмед - как получали векторные предстовления?
Ахмед - опишите модель сравнения векторного представления с вашим
Ахмед - Учитываете ли вы контекст в котором фигурирует предложение
</t>
  </si>
  <si>
    <t xml:space="preserve">Чайников - Почему входной параметр 255
Чайников - в чем конечное условие
Чайников - что является критерием окончания струи?
</t>
  </si>
  <si>
    <t>Ахмед - Какой версии используете айдентите сервер
Ахмед - что будет если не смогу достучаться до фрагмента или модуля
Ахмед - Что будет если машина ляжет и как избежать этой проблемы?
Стрижак - прорабатывали ли проблему отказоустойчивости?</t>
  </si>
  <si>
    <t>Чайников - Сформулируйте как устроен выиграш по производительности
Чайников - откуда взяли диапазон шагов
Чайников - В каких единицах указан размер шага?
Стрижак - как формулировалась исходная модельная задача
Стрижак - это 2д или 3д задача и какие ограничения задачи?
Стрижак - кто то кроме вас пользовался вашей программой? 
Ахмед - какое отклонения в числовом эквеваленте в сравнение?
Крылов - недостаточно ли было ламинарного течения?</t>
  </si>
  <si>
    <t>Булакина - почему была выбрана именно Челябинская область?
Чайников - какой физический размер точечного источника ТЭЦ-3?
Чайников - сколько точек где вы считаете наземные измерения?
Чайников - у вас датасет за какой преиод?</t>
  </si>
  <si>
    <t>Чайников - На сколько дней вы делает предсказания. Про сколько дней вы сделали инференс? Сколько раз в разные дни ты сделал придикт на 14 дней вперед?
Чайников - сколько дней в датасете? сколько из них ты использовал для обучения?
Ахмед - сравнивали ли вы свое решение с другими?</t>
  </si>
  <si>
    <t xml:space="preserve">Крылов - как вы отбирали 20 признаков?
Чайников - откуда взялось 7 классов?
Стрижак - планируете ли вы дальше развивать эту задачу?
Ахмед - какова реальное распределение логов в датасете?
Давыдов - как планируете интегрировать систему в реальном времени?
</t>
  </si>
  <si>
    <t>Куравский - Что такое концептуальная модель?
Куравский - Разработали новые технологии?
Куравский - Что означает ГОСТ на входе? Как они формализуются?
Самир - Как решали проблему ОС?
Самир - Исследовали альтернативы?
Крылов - Какие были изменения?</t>
  </si>
  <si>
    <t>Куравский - Какие выводы можно сделать на основе содержания метрик?
Куравский - Исследовали метрики на валидность и избыточность?
Самир - Какие запросы обрабатываете на стороне клиента?
Самир - В чем заключается сбор и агрегация данных?
Самир - Что подразумевается под ошибками парсинга конфигов?</t>
  </si>
  <si>
    <t>Куравский - За счет чего произошло улучщение?
Куравский - Делали математическую модель?
Куравский - Где конкретно использовались приведенные алгоритмы?
Архипов - Проводили анализ конкурентов?</t>
  </si>
  <si>
    <t>Куравский - К чему сводится анализ числовых характеристик?
Самир - Почему именно среднее?
Ляпина - Что означает проактивный?</t>
  </si>
  <si>
    <t>Тема не совпадает</t>
  </si>
  <si>
    <t>Куравский - Что делает нейронная сеть?
Куравский - Какую нейронную сеть используете?
Куравский - Прокомментируйте графики обучения.
Самир - Что будет происходить если максимально обновременно будут бранировать 1 место несколько людей?
Самир - Проверяете ли бронировал тот же человек или разные?
Самир - В каком виде представляется адрес?
Куравский - Можно ли решить без нейронных сетей?</t>
  </si>
  <si>
    <t>Куравский - В чем вклад автора?
Куравский - Делали упор на сравнение эффективности?
Куравский - Сравнивали с аналогами?</t>
  </si>
  <si>
    <t>Куравский - Конкретно чего определяли высоту?
Куравский - Высоту определяли в статике или динамике?
Куравский - Входные данные содержат данные о высотах?
Куравский - За что цепляетесь чтобы определить высоту?
Самир - В чем ценность работы?</t>
  </si>
  <si>
    <t>Куравский - Поясните математическую модель.
Куравский - В пределах чего варьируются значения?
Куравский - Для рассчета индекса сколько человеко-лет требуется?
Куравский - В чем Ваш подход лучше аналогов?</t>
  </si>
  <si>
    <t>Куравский - Где и как построены диаграммы?
Куравский - Ваши отчеты отличаются от отчетов у похожих систем?
Самир - Исследовали нормализованные модели?
Самир - Можно ли иметь сглаженную оценку?</t>
  </si>
  <si>
    <t>Куравский - Где в Вашем уравнении жесткость балки?
Самир - Решали уравнения более высоких порядков?</t>
  </si>
  <si>
    <t>Куравсский - Кто является пользователем репетитора?
Куравский - Каков будет ответ если пользователь отправит задачу и скажет решить ее?
Куравский - Как добиваетесь чтобы выводил только первый шаг?
Самир - Какие эмбединги используются?
Самир - Какую LLM использовали как проверочную?</t>
  </si>
  <si>
    <t>Куравский - Какая валидность советов?
Куравский - Были попытки формализовать?
Куравский - Можноли заменить тему с психологии на другую? Как изменится при этом система?
Самир - Что сделано конкретно Вами?
Самир - На сколько рендабильно?</t>
  </si>
  <si>
    <t>1) Самоваров - Где можно на практике это применить
2) Стрижак - Эта модель была готовая? Вы ее просто взяли? Была ли доработка?
3) Чайников Сколько моделей можно выбрать?
4) Булакина - В чем научная составляющая работы?</t>
  </si>
  <si>
    <t>1) Чайников - Что значит подмена сигналов?
2) Чайников - А можно как нибудь понять размер датасета в количестве событий в терминах единиц атак?
3) Чайников - Как вы забираете входные данные?
4) Давыдов - Какие модели вы сравнивали? Почему нет трансформеров?</t>
  </si>
  <si>
    <t>Стрижак - Почему было именно 4 скрытых слоя?
Стрижак - Что подается на вход?
Стрижак - Что конкретно предсказывает модель?
Самоваров - Какая задача решается? 
Самоваров - Какой датасет собирался? Какой датасет размечался?</t>
  </si>
  <si>
    <t xml:space="preserve">Чайников - Есть ли какая-то измеримая характеристика тезиса?
Ильченко - Каким образом решаются конфликты при создании правил?
Чайников - Есть ли акт о внедрении? 
</t>
  </si>
  <si>
    <t xml:space="preserve">Булакина - Какая практическая значимость разработки?
Булакина - Кто-то решал аналогичные задачи?
Чайников - Какая степень похожести?
Чайиков - Какой масштаб оценки?
Чайников - Есть ли какой-то паблик, который рассказывает широкой общественности?
</t>
  </si>
  <si>
    <t>Чайников - Вы работали на реальном датасете?
Чайников - Результаты принадлежат Интосстаху? 
Чайников - Какой размер датасета использовался? Что является обьектом?
Чайников - Как считается эластичность?
Стрижак - Использовали ли другие модели?
Чайников - Вы предсказываете какуюю цену?</t>
  </si>
  <si>
    <t>Булакина - Можете сформулировать научную применимость и практическую значимость?
Чайников - Как вы проверили пересечения?
Булакина - Можете конкретизировать результат?
Булакина - Отуда была взята задача?</t>
  </si>
  <si>
    <t xml:space="preserve">Чайников - Были ли попытки сравнения с другими моделями?
Чайников - Как звучали требования? 
Стрижак - Есть ли задача предсказывать не 1 одну команду?
</t>
  </si>
  <si>
    <t xml:space="preserve">Стрижак - Пробовали ли вы еще какие-то модели?
Стрижак - Есть ли другие возможности в используемой модели?
Чайников - Сколько попыток понадобилоь, что б получился хороший результат?
Чайников - Как узнается какие поля нужно построить?
</t>
  </si>
  <si>
    <t>Чайников - Что за система?
Чайников - Кому принажлежат права на разработку?
Чайников - Есть ли тестовая выборка?
Чайников - Что хотят пользователи?
Стрижак - Это вы разворачивали у себя на работе?
Стрижак - Что характерно для авиационных документов?</t>
  </si>
  <si>
    <t xml:space="preserve">Чайников - На скольких обьектах проверялась работа?
Чайников - Какая точность результата?
</t>
  </si>
  <si>
    <t xml:space="preserve">Стрижак - Можно ли вытащить данные по сочи на конкретный день?
Стрижак - Как влияет шум?
Чайников - Какой единичей измеряется трек?
Стрижак - Какая информация собирается в полномь обьеме в треке?
</t>
  </si>
  <si>
    <t xml:space="preserve">Чайников - Какая законность скрепинга в данной работе?
Чайников - Почему выбрана именно эта модель?
Чайников - Почему сравнилали тольоко 2 модели?
Стрижак - Чем обусловлен выбор позиций? 
Стрижак - Кто ставил задачу?
</t>
  </si>
  <si>
    <t xml:space="preserve">Стрижак - Для чего модели?
Стрижак - Вы были сыокусированны именно на разработве одной модели?
Чайников - На какую часть расчитана ваша методика?
Чайников - Есть ли в методике разработка сценариев?
</t>
  </si>
  <si>
    <t>Ильченко - Ваш алгоритм выпрямляем или искривляет координаты полета?
Ильченко - Вы подменяете собой спутник?
Чайников - Что такое эфемерида?
Ильченко - В пакете данных есть индетефикатор спутника?</t>
  </si>
  <si>
    <t>Давыдов - Был ли дисбаланс классов?
Масленников - Откуда брался датасет?
Масленников - Прокомментируйте ваши модели.
Масленников - Какая архитектура?</t>
  </si>
  <si>
    <t>Булакина - Где могут использоваться резльутаты вашей работы?
Крылов - Почему выбрали эту тему и чем ваше решение отличается от аналогов?
Ляпина - Человеческие лица ассиметричны, распознавание в профиль может исказить. Вы исследовали эту проблему?
Давыдов - Какое обоснования выбора именно этих моделей? Было ли исследование на эту тему? С чем связано различие в результатах классификации эмоций для разных классов?
Масленников - Пробовали ли вы использовать моель на своих фотографиях? Насколько хорошо отрабатывает?</t>
  </si>
  <si>
    <t>Крылов - Как вы оцениваете практическую значимость работы?
Булакина - Какие необходимы мощности для моделей подобного класса?</t>
  </si>
  <si>
    <t>Булакина - Какая используется LLM и как информация делится на чанки? В роли чанка что выступает?
Масленников - Какими инструментами реализуется транскрибация? Какие были ограничения были у решения?</t>
  </si>
  <si>
    <t>Булакина - Как изменятся результаты модели при изменении акции?
Давыдов - Как выглядела у вас кросс валидация модели? Тестировали ли вы адаптацию модели? Как вы дообучали модель, не деградировала ли модель на новых данных?
Масленников - Как по вашему мнению стоит развивать проект на основе вашей экспертизы в сфере? Какие могут быть варианты внедрения?</t>
  </si>
  <si>
    <t>Булакина - Исследовали ли вы стоимость чипирования и поддержки чипирования в вашей системе?
Булакина - Планируется ли расширение на другие виды животных?
Крылов - Почему выбрали такую тему? В чем отличие от аналогов?
Давыдов - Для чего вы используете YoLO?</t>
  </si>
  <si>
    <t>Крылов - Откуда родилась идея проекта?
Давыдов - Как разворачивается проект?
Масленников - Какая технологическая новизна?</t>
  </si>
  <si>
    <t>Давыдов - RL алгоритм управляет сразу всеми дронами? 
Давыдов - Как предполагается деплой всей системы?
Давыдов - Какие компоненты входят в функцию нелинейной награды?</t>
  </si>
  <si>
    <t>Давыдов - Как выбиралась модель для распознавания? Локально было развернуто?
Масленников - Кто вдохновил на этот проект? Откуда взялись такие проблемы?</t>
  </si>
  <si>
    <t>Давыдов: Как выгялдел датасет без синтетики. Можно ли было рассмотреть этот датасет как времнной ряд. Почему не использовались инструменты заточенные под временные ряды
Ляпина: какую практическую пользу несет ваше решение
Масленников: Раскройте как и почему был построен ансамбль моделей</t>
  </si>
  <si>
    <t>Давыдов: В какой момент использовалась функция ошибки. Сколько треков можно загрузить для примера. Влияет ли количество треков на время тюнинга
Ляпина: Рассматриваете ли вы как продуктовую разработку или же это специализированная разработка
Масленников: Влияала ли длительность чанков на итоговый score модели. Изучали ли модели с обратной связью</t>
  </si>
  <si>
    <t>Масленников: исследовались ли авто метрики? Изучилсь ли мультиагентные системы. В чем отличие от аналогисных продуктовых решений</t>
  </si>
  <si>
    <t>Ляпина: работа носила инициативный характер или для практической цели?
Масленников: Какой датасет, как он характеризуется? Были ли какие-то зависимости от устройства? Какой самый интересный инсайт удалось выявить исходя из анализа</t>
  </si>
  <si>
    <t>не был на озвучивании вопросов. пересмотреть запись. таймкод 1:45</t>
  </si>
  <si>
    <t>Кондаратцев: Уточните начальную постановку задачи
Масленников: На каких данных тестировался результат</t>
  </si>
  <si>
    <t>Давыдов: Было ли сравниение моделей среди аналогов. Были ли пространственные зависимости в данных при сборе датасета
Ляпина: Будете ли вы использовать свою разработку в работе</t>
  </si>
  <si>
    <t>Масленнников: Был ли опыт выхода на реальных пользователей. Какие преимущества от графовых баз данных
Ляпина: как появилась тема работы. Какой ее характер</t>
  </si>
  <si>
    <t>Давыдов: Не пробовали сделать что-то там...
Масленников: насколько низкая скорость это проблема?</t>
  </si>
  <si>
    <t>Шелухин - Для каждого приюта свой парсер?
Шелухин - Как категоризуете картинки?
Давыдов - Время отклика зависит от нагруженности?
Давыдов - Лицензия есть?</t>
  </si>
  <si>
    <t>Маркин - Кто составляет модель помещения?
Маркин - Кто помечает места датчиков?
Булакина - Как учитываются данные с разных датчиков? Как различается корректность?
Булакина - Как решается вопрос совместимости устройств?</t>
  </si>
  <si>
    <t>Маркин - Что понимается под незащищенным хранилищем?
Шелухин - В каком виде хранится приватный ключ?
Шелухин - Можно ли двум людям дать доступ к 1 секрету?
Шелухин - В каком виде хранится список доступа?</t>
  </si>
  <si>
    <t>Шелухин - Что такое сброс?
Шелухин - Что на входе и что на выходе?
Булакина - Что понимается под цифровым дизайном?</t>
  </si>
  <si>
    <t>Маркин - Откуда взято количество теплопотерь?
Третьякова - Какие переменные и что означают в уравнения на 6 слайде?</t>
  </si>
  <si>
    <t>Шелухин - Где применять Ваш проект?
Шелухин - За счёт чего достигнута преимущества?
Маркин - Какое время работы компрессии и декомпрессии?
Давыдов - Какая сложность алгоритма?</t>
  </si>
  <si>
    <t>Мазаев - Какое отличие от аналогов?
Мазаев - Можно ли прослушать результат?
Давыдов - На сколько дороже по памяти?
Шелухин - Почему описываете все значения, а не только те, которые используются?</t>
  </si>
  <si>
    <t>Булакина - Сколько методов реализовали?
Маркин - Использовали готовые библиотеки или сами писали?
Маркин - Что позволяет модульная архитектура?
Булакина - Где и на чем тестировали?</t>
  </si>
  <si>
    <t>Булакина - Откуда появилась постановка задачи?
Шелухин - Какой поток сообщений выдерживает Ваша система?</t>
  </si>
  <si>
    <t>Булакина - Какие аналоги есть?
Давыдов - Что такое стандартные форматы заданий?
Давыдов - В какой из критериев входит LaTeX?</t>
  </si>
  <si>
    <t>Шелухин - Какой сложности может быть выражение?
Шелухин - Как разбираете выражение?
Маркин - В чем заключается отказоустойчивость приложения и зачем она нужна?
Маркин - Где микросервисы и зачем они?
Мазаев - Какого уровня архитектура по С4?
Мазаев - В чем отличие Kafka от Rabbit?</t>
  </si>
  <si>
    <t>Шелухин - Что значит заржать через приложение?
Булакина - Какие аналоги существуют?
Шелухин - Как происходит построение маршрута?
Шелухин - Что является узлами графа?</t>
  </si>
  <si>
    <t>Филимонов - Что понимается под системой?
Филимонов - Где алгоритмы?
Филимонов - Какие процессы занимаются обработкой аудиопотоков?
Филимонов - Где находтся механизм случайностей?
Филимонов - Что такое случайности?
Давыдов - В каком виде последовательность данных? Что ищите?
Давыдов - Какие преимущества перед конкурентами?
Давыдов - Как запускать программу?
Филимонов - Ваша разработка полезна мошенникам или против них?
Ирбитский - Есть ли лицензия в репозитории?
Ирбитский - На сколько большой датасет? Откуда брали его?</t>
  </si>
  <si>
    <t>Филимонов - Какое отнощение закупки имеют к рассылкам?
Филимонов - Как получилась такая высокая оригинальность?
Ирбитский - Микросервисы находятся в 1 локальной сети?
Ирбитский - Почему используете именно REST API? И что это такое?
Ирбитский - В чем заключаается безопасность?</t>
  </si>
  <si>
    <t>Филимонов - Есть ли для данного уравнения другие программные решения? Чем Ваше решение лучше?
Филимонов - Оптимизация формы тела где происходит и как?
Романенков - В чем заключается оптимизация?
Филимонов - Что Вы добавили относительно аналогов?
Романенков - Какая это задача: начальная, краевая или начально-краевая?
Романенков - Где начальные и конечные условия?
Романенков - Где формально прописаны граничные условия?
Романенков - Численные методы используются готовые или сами создали?
Романенков - Что значит "лучше подходит"?</t>
  </si>
  <si>
    <t>Филимонов - В чем заключается безопасность?
Филимонов - Какие требования к коду?
Ирбитский - почему используется MINIO ?
Ирбитский - На чем тест? И для чего он нужен?</t>
  </si>
  <si>
    <t>Филимонов - Сравнивали с подобными решениями?
Романенков - Какой смысл соотношений на 10 слайде?
Романенков - Какое слагаемое отвечает за перенос на 6 слайде?
Давыдов - Какой метод интерполяции использовали?</t>
  </si>
  <si>
    <t>Филимонов - Что такое псевдо-случайность?
Филимонов - Поясните про алгоритм преобразования.
Романенков - В чем топология?</t>
  </si>
  <si>
    <t>Филимонов - Что дает Ваше решение? В чем отличие от аналогов?
Чернова - Можно ли на прямую собирать из банков?
Чернова - А если отключить уведомления из банков?
Филимонов - Как происходит учет безопасности?
Романенков - В чем научная составляющая? Какая новизна?</t>
  </si>
  <si>
    <t>Филимонов - Какой алгоритм использовали в итоге?
Булакина - Что имеется ввиду под "иновационной публикацией"?</t>
  </si>
  <si>
    <t>PDF</t>
  </si>
  <si>
    <t>Филимонов - Что такое Kotlin?
Филимонов - Поясните про процедуру маскировки секрета.
Ирбитский - Почему именно не шифрование? Чем Ваш способ лучше?
Ирбитский - От кого защищаем?</t>
  </si>
  <si>
    <t xml:space="preserve">Филимонов - Что понимается под нестандартными условиями?
Филимонов - В чем различие уравнений на 10 и 11 слайдах?
Филимонов - Какие теоремы доказали?
Булакина - В какой программной среде делали визуализацию?
Булакина - Интерпритируйте колебания на 16 слайде.
Булакина - По каким критериям подбираются параметры?
Давыдов - Сколько точек выбрано для графика?
</t>
  </si>
  <si>
    <t>Филимонов - Какой критерий брали? Какое распределение?
Филимонов - Пробовали математически формализовать задачу?
Ирбитский - Что такое Railway?
Романенков - Как считали вероятность?
Булакина - Какой суммарный объем данных?</t>
  </si>
  <si>
    <t>Булакина - Как Ваша система интегрируется с внутренней системой института?
Ирбитский - Что такое архитектура хранения?
Ирбитский - Что такое зависимости?
Ирбитский - Имеется ли проверка соответствия данных, введенных аспирантом, с семестровыми данными?
Булакина - Где происходит разграничение прав доступа?</t>
  </si>
  <si>
    <t>Филимонов - В чем особенность физических датчиков?
Ирбитский - Почему использовали Zookeeper?
Ирбитский - Какие именно "домовые" тесты?</t>
  </si>
  <si>
    <t>Филимонов - Как решаете задачу маршрутизации?
Ирбитский - Как происходит построение маршрута?
Ирбитский - Что такое персистентность?
Ирбитский - Как происходит анализ живучести?</t>
  </si>
  <si>
    <t>Филимонов - В основе лежит шифрование?
Булакина - О каких чатах идет речь: корпоративные, персональные?
Ирбитский - Можно ли реализовать не для 2х людей, а для группы?
Ирбитский - Есть ли лицензия?</t>
  </si>
  <si>
    <t>Филимонов - Как происходит прогнозирование?
Ирбитский - Объясните что происходит на 5 слайде?
Ирбитский - Какая схема таблиц?
Давыдов - Где документация?
Ирбитский - Почему файл с тестами пустой?</t>
  </si>
  <si>
    <t>Филимонов - Что такое кибернетес?
Филимонов - В чем основная цель?
Ирбитский - Можно ли применить к другой платформе?</t>
  </si>
  <si>
    <t>Филимонов - Какой основной подход?
Филимонов - Перечислите коллизии.
Ирбитский - В чем сложность реализации Hopscotch?
Ирбитский - Почему именно Двойное хэширование, а не повторное?
Ирбитский - Что такое рекомендуемый коэффициент загрузки?</t>
  </si>
  <si>
    <t>Филимонов - Как решаете оптимизацию?
Ирбитский - Что такое модульная микросервисная архитетура?</t>
  </si>
  <si>
    <t>Булакина - Какой физический смысл понятия "технический док"?
Ухов - Как Выш радар учитывает связи?
Давыдов - Какие секции добавили по сравнению с аналогами?
Давыдов - Как определяется близость точки к центру?</t>
  </si>
  <si>
    <t>Куравский - Как пользователь может сделать без Вашего решения?
Куравский - Какие требования к пользователю?
Куравский - Какая мотивация разработки?
Куравский - Существуют ли аналоги?</t>
  </si>
  <si>
    <t>Куравский - Происходит ли очистка отшума? Есть примеры?
Куравский - Какие фильтры есть в работе?
Куравский - Использовали Вейвлет фильтрацию?
Куравский - Откуда взяли библиотеку?
Куравский - Какие данные передают датчики?</t>
  </si>
  <si>
    <t>Давыдов - В чем разница верхней и нижней строк на 7 слайде?
Кондаратцев - Различаются ли геометрии на 7 слайде?
Давыдов - Как используются сверточные сети в Вашей работе?
Ухов - Как подбирался датасет тел?</t>
  </si>
  <si>
    <t>Куравский - Какие факторы повлияли на преимущество перед аналогами?
Давыдов - Какой объем называется больщшим?
Давыдов - Если выдать больше ресурсов, то как влияет на систему?
Давыдов - Почему именно красно-черное дерево?</t>
  </si>
  <si>
    <t>Куравский - Что по части анализа делали?
Куравский - Сами алгоритмы анализа фиксированы?
Куравский - Какая цель анализа?
Куравский - Для чего спектральный анализ? Скажите пример параметра.</t>
  </si>
  <si>
    <t>Куравский - Какие еще методы использовали?
Куравский - До какого максимального размера доходили?
Куравский - Как делаются элементы матрицы?
Куравский - Что такое альфа и какие значения она может принимать?</t>
  </si>
  <si>
    <t>Давыдов - Что из себя представляют существующие аналоги?
Давыдов - Что на входе?
Ухов - Делали какую-то оптимизацию?
Ухов - В каком формате выгрузка?</t>
  </si>
  <si>
    <t>Куравский - Почему понадобилась вторая языковая модель?
Куравский - Инструкции как-то редактировали перед отправкой в модель?
Куравский - Допустимо ли в данной задаче предявлять не все пары? 
Куравский - Не возникает ли проблема, что придется предьявлять слишком много пар?
Давыдов - Что значит стоимость?
Крылов - Почему именно такой набор грузов?
Крылов - Как устанавливали эквивалентность?</t>
  </si>
  <si>
    <t xml:space="preserve">Куравсакий - Что обозначают параметры в формуле на 5 слайде?
Куравский - Какую именно математическую модель вы предьявляете как результат?
Куравский - У вас в работе сформулированы закономерности? Они закономерны?
</t>
  </si>
  <si>
    <t>Куравский - Какие требования к квалификации пользователя?
Куравский - Можете детально обьяснить, что такое кеширование?
Куравский - Можете привести конкретные цены по минимизации?
Булакина - Можете перечислить конкурентов?</t>
  </si>
  <si>
    <t>Куравский - У этой задачи единственно решение или допускается несколько? 
Куравский - Что означают цвета точек? Их положение обосновано как-то? Почему были выделенны именно эти точки? Количество точек регулируется? 
Давыдов - Не слишком ли маленькая выборка? Не пробовали ли добавлять еще изобрадения?</t>
  </si>
  <si>
    <t>Куравский - Что за матрица взаимодействия?
Куравский - У вас есть слайд, как строиться эта матрица? 
Куравский - Какая матрица строиться квадратная или прямоугольная? 
Куравский - Что такое сингулярное разложение?</t>
  </si>
  <si>
    <t>Куравский - Было ли представлено сравнение с империческими методами?
Куравский - Уравнения в размерной форме?</t>
  </si>
  <si>
    <t xml:space="preserve">Куравский - Что делаете после получения таблиц?
Куравский - Нужно ли заранее уравнивать в численности категорию?
Куравский - Для чего использовался статистический метод?
Куравский - Сколько было параметров и сколько стало? 
Куравский - Отуда взяли число кластеров?
Куравский - Кто попадал в контрольную выборку?
Давыдов - Какую задачу вы решали?
</t>
  </si>
  <si>
    <t xml:space="preserve">Куравский - Нужны ли какие-то квалификационные требования к пользователю?
Куравский - Есть ли какие-т органичения?
Куравский - В какой форме представляется итоговый результат?
</t>
  </si>
  <si>
    <t>Куравский - Если Вашей разработки нет, то как без нее справляться?
Куравский - Какие технологии и для чего были использованы?</t>
  </si>
  <si>
    <t>Куравский - Как данные попадают в систему?
Куравский - Это уже используется?
Куравский - Почему именно python?
Булакина - Какую решаете бизнес задачу?</t>
  </si>
  <si>
    <t>Репозиторий закрыт</t>
  </si>
  <si>
    <t>Куравский - Что хранится в базе данных?
Булакина - Что такое БДМ?
Куравский - А что если какого-то сценария нет?</t>
  </si>
  <si>
    <t>ЭТО НЕ ТИТУЛЬНИК
КОДА НЕТ (попадает под NDA)</t>
  </si>
  <si>
    <t>Куравский - Каким методом в итоге считали?
Куравский - В какой системе решали?
Куравский - Какой размер сетки?
Куравский - Какие мощности требуются и за сколько решается?
Булакина - Поясните термин "вводные параметры"?
Булакина - Сколько строк входит?</t>
  </si>
  <si>
    <t>А еще мельче текст нельзя было?)
Ну хотя бы не со стены, а с телика больше читает) (стоило написать и на стенку переключился)</t>
  </si>
  <si>
    <t>Лукин - Что такое инфоструктура?
Киндинова - Что такое технические диаграммы?
Киндинова - Что такое DFD?
Романенков - А что вообще сделано?
Романенков - Как определяли оптимальное разбиение?</t>
  </si>
  <si>
    <t>2025г
Нумерация и Изменить фон
Убрать DFD и "технические диаграммы"
Исправить грамматические ошибки</t>
  </si>
  <si>
    <t>Лупин - Что такое стремительный рост?
Романенков - Что значит персестентный? Как описываются задачи? Пример.
Романенков - Облать ответственности и версии в стеке технологий.</t>
  </si>
  <si>
    <t>Убрать "стремительный"</t>
  </si>
  <si>
    <t>Романенков - Что за методы обучения использованы?
Романенков - Что было реализовано лично Вами?</t>
  </si>
  <si>
    <t>Лукин: "Доклад ужасный, рассказ плохой, слайды не читаемые"
Не говорить "оптимальный"
Слишком много текста на слайдах</t>
  </si>
  <si>
    <t>Романенков - Что из себя представляет анализ средств?
Романенков - Что именно реализовано?
Романенков - Какой смысл слова "гетерогенный"?</t>
  </si>
  <si>
    <t>Покрупнее нумерация слайдов</t>
  </si>
  <si>
    <t>Романенков - Что имеется ввиду под "оптимизацией интерфейса"?
Романенков - Какие технологии использовались?</t>
  </si>
  <si>
    <t>Романенков - Почему веб-приложение? Для кого оно?
Романенков - Что значит "исполнять задачу"?
Романенков - Что значит "анализ чувствительности"?</t>
  </si>
  <si>
    <t xml:space="preserve">Лукин - Что такое "высокочастотная"?
Романенков - Расскажите теорему Байеса?
</t>
  </si>
  <si>
    <t>Нумерация
Слишком много английского</t>
  </si>
  <si>
    <t>Лукин - Что такое корпоративный процесс?</t>
  </si>
  <si>
    <t>Если игрок продвинулся вперед, что он увидит?
Поясните про взятые библиотеки.
Как делается шум?</t>
  </si>
  <si>
    <t>Добавить илюстрации
Добавить мат часть</t>
  </si>
  <si>
    <t>На чем было решение?
Романенков - Что значит критерий оперативности?</t>
  </si>
  <si>
    <t>Все диаграммы и таблицы плохо читаемые</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</si>
</sst>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6">
    <font>
      <sz val="11"/>
      <color theme="1"/>
      <name val="Calibri"/>
      <family val="2"/>
      <charset val="204"/>
      <scheme val="minor"/>
    </font>
    <font>
      <sz val="12"/>
      <color rgb="FF000000"/>
      <name val="Times New Roman"/>
      <family val="1"/>
      <charset val="204"/>
    </font>
    <font>
      <sz val="12"/>
      <color theme="1"/>
      <name val="Times New Roman"/>
      <family val="1"/>
      <charset val="204"/>
    </font>
    <font>
      <u/>
      <sz val="11"/>
      <color theme="10"/>
      <name val="Calibri"/>
      <family val="2"/>
      <charset val="204"/>
      <scheme val="minor"/>
    </font>
    <font>
      <sz val="10"/>
      <color theme="1"/>
      <name val="Calibri"/>
      <family val="2"/>
      <charset val="204"/>
      <scheme val="minor"/>
    </font>
    <font>
      <sz val="10"/>
      <color rgb="FF000000"/>
      <name val="Calibri"/>
      <family val="2"/>
      <charset val="204"/>
      <scheme val="minor"/>
    </font>
    <font>
      <u/>
      <sz val="10"/>
      <color rgb="FF000000"/>
      <name val="Roboto"/>
    </font>
    <font>
      <sz val="10"/>
      <color rgb="FF000000"/>
      <name val="Arial"/>
      <family val="2"/>
      <charset val="204"/>
    </font>
    <font>
      <u/>
      <sz val="10"/>
      <color rgb="FF1155CC"/>
      <name val="Arial"/>
      <family val="2"/>
      <charset val="204"/>
    </font>
    <font>
      <sz val="11"/>
      <color theme="1"/>
      <name val="Arial"/>
      <family val="2"/>
      <charset val="204"/>
    </font>
    <font>
      <sz val="11"/>
      <color rgb="FF1155CC"/>
      <name val="Arial"/>
      <family val="2"/>
      <charset val="204"/>
    </font>
    <font>
      <u/>
      <sz val="10"/>
      <color theme="10"/>
      <name val="Calibri"/>
      <family val="2"/>
      <charset val="204"/>
      <scheme val="minor"/>
    </font>
    <font>
      <sz val="10"/>
      <color theme="1"/>
      <name val="Arial"/>
      <family val="2"/>
      <charset val="204"/>
    </font>
    <font>
      <sz val="12"/>
      <color theme="1"/>
      <name val="Calibri"/>
      <family val="2"/>
      <charset val="204"/>
      <scheme val="minor"/>
    </font>
    <font>
      <b/>
      <sz val="12"/>
      <color theme="1"/>
      <name val="Calibri"/>
      <family val="2"/>
      <charset val="204"/>
      <scheme val="minor"/>
    </font>
    <font>
      <strike/>
      <sz val="12"/>
      <color theme="1"/>
      <name val="Calibri"/>
      <family val="2"/>
      <charset val="204"/>
      <scheme val="minor"/>
    </font>
  </fonts>
  <fills count="7">
    <fill>
      <patternFill patternType="none"/>
    </fill>
    <fill>
      <patternFill patternType="gray125"/>
    </fill>
    <fill>
      <patternFill patternType="solid">
        <fgColor rgb="FFFFFFFF"/>
        <bgColor indexed="64"/>
      </patternFill>
    </fill>
    <fill>
      <patternFill patternType="solid">
        <fgColor rgb="FFF8F9FA"/>
        <bgColor indexed="64"/>
      </patternFill>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15">
    <border>
      <left/>
      <right/>
      <top/>
      <bottom/>
      <diagonal/>
    </border>
    <border>
      <left style="medium">
        <color rgb="FF284E3F"/>
      </left>
      <right style="medium">
        <color rgb="FF356854"/>
      </right>
      <top style="medium">
        <color rgb="FF284E3F"/>
      </top>
      <bottom style="medium">
        <color rgb="FF000000"/>
      </bottom>
      <diagonal/>
    </border>
    <border>
      <left/>
      <right style="medium">
        <color rgb="FF356854"/>
      </right>
      <top style="medium">
        <color rgb="FF284E3F"/>
      </top>
      <bottom style="medium">
        <color rgb="FF000000"/>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right style="medium">
        <color rgb="FF000000"/>
      </right>
      <top/>
      <bottom/>
      <diagonal/>
    </border>
    <border>
      <left/>
      <right style="medium">
        <color rgb="FF000000"/>
      </right>
      <top/>
      <bottom style="medium">
        <color indexed="64"/>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rgb="FF000000"/>
      </left>
      <right style="medium">
        <color rgb="FF000000"/>
      </right>
      <top style="medium">
        <color rgb="FF000000"/>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right/>
      <top/>
      <bottom style="medium">
        <color rgb="FF999999"/>
      </bottom>
      <diagonal/>
    </border>
  </borders>
  <cellStyleXfs count="2">
    <xf numFmtId="0" fontId="0" fillId="0" borderId="0"/>
    <xf numFmtId="0" fontId="3" fillId="0" borderId="0" applyNumberFormat="0" applyFill="0" applyBorder="0" applyAlignment="0" applyProtection="0"/>
  </cellStyleXfs>
  <cellXfs count="49">
    <xf numFmtId="0" fontId="0" fillId="0" borderId="0" xfId="0"/>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2" fillId="2" borderId="3"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0" fillId="2" borderId="4" xfId="0" applyFill="1" applyBorder="1" applyAlignment="1">
      <alignment vertical="center" wrapText="1"/>
    </xf>
    <xf numFmtId="0" fontId="2" fillId="3" borderId="3" xfId="0" applyFont="1" applyFill="1" applyBorder="1" applyAlignment="1">
      <alignment horizontal="center" vertical="center" wrapText="1"/>
    </xf>
    <xf numFmtId="0" fontId="2" fillId="3" borderId="4" xfId="0" applyFont="1" applyFill="1" applyBorder="1" applyAlignment="1">
      <alignment horizontal="center" vertical="center" wrapText="1"/>
    </xf>
    <xf numFmtId="0" fontId="0" fillId="3" borderId="4" xfId="0" applyFill="1" applyBorder="1" applyAlignment="1">
      <alignment vertical="center" wrapText="1"/>
    </xf>
    <xf numFmtId="0" fontId="2" fillId="2" borderId="5" xfId="0" applyFont="1" applyFill="1" applyBorder="1" applyAlignment="1">
      <alignment horizontal="center" vertical="center" wrapText="1"/>
    </xf>
    <xf numFmtId="0" fontId="2" fillId="0" borderId="4" xfId="0" applyFont="1" applyBorder="1" applyAlignment="1">
      <alignment horizontal="center" vertical="center" wrapText="1"/>
    </xf>
    <xf numFmtId="0" fontId="2" fillId="3" borderId="6" xfId="0" applyFont="1" applyFill="1" applyBorder="1" applyAlignment="1">
      <alignment horizontal="center" vertical="center" wrapText="1"/>
    </xf>
    <xf numFmtId="0" fontId="0" fillId="3" borderId="6" xfId="0" applyFill="1" applyBorder="1" applyAlignment="1">
      <alignment vertical="center" wrapText="1"/>
    </xf>
    <xf numFmtId="0" fontId="2" fillId="2" borderId="7" xfId="0" applyFont="1" applyFill="1" applyBorder="1" applyAlignment="1">
      <alignment horizontal="center" vertical="center" wrapText="1"/>
    </xf>
    <xf numFmtId="0" fontId="2" fillId="2" borderId="8" xfId="0" applyFont="1" applyFill="1" applyBorder="1" applyAlignment="1">
      <alignment horizontal="center" vertical="center" wrapText="1"/>
    </xf>
    <xf numFmtId="0" fontId="0" fillId="2" borderId="8" xfId="0" applyFill="1" applyBorder="1" applyAlignment="1">
      <alignment vertical="center" wrapText="1"/>
    </xf>
    <xf numFmtId="0" fontId="2" fillId="3" borderId="7" xfId="0" applyFont="1" applyFill="1" applyBorder="1" applyAlignment="1">
      <alignment horizontal="center" vertical="center" wrapText="1"/>
    </xf>
    <xf numFmtId="0" fontId="2" fillId="3" borderId="8" xfId="0" applyFont="1" applyFill="1" applyBorder="1" applyAlignment="1">
      <alignment horizontal="center" vertical="center" wrapText="1"/>
    </xf>
    <xf numFmtId="0" fontId="0" fillId="0" borderId="8" xfId="0" applyBorder="1" applyAlignment="1">
      <alignment vertical="center" wrapText="1"/>
    </xf>
    <xf numFmtId="0" fontId="4" fillId="4" borderId="10" xfId="0" applyFont="1" applyFill="1" applyBorder="1" applyAlignment="1">
      <alignment horizontal="center" vertical="top" wrapText="1"/>
    </xf>
    <xf numFmtId="0" fontId="5" fillId="5" borderId="11" xfId="0" applyFont="1" applyFill="1" applyBorder="1" applyAlignment="1">
      <alignment horizontal="center" vertical="top" wrapText="1"/>
    </xf>
    <xf numFmtId="0" fontId="4" fillId="5" borderId="11" xfId="0" applyFont="1" applyFill="1" applyBorder="1" applyAlignment="1">
      <alignment horizontal="left" vertical="top" wrapText="1"/>
    </xf>
    <xf numFmtId="0" fontId="5" fillId="6" borderId="11" xfId="0" applyFont="1" applyFill="1" applyBorder="1" applyAlignment="1">
      <alignment horizontal="center" vertical="top" wrapText="1"/>
    </xf>
    <xf numFmtId="0" fontId="4" fillId="6" borderId="11" xfId="0" applyFont="1" applyFill="1" applyBorder="1" applyAlignment="1">
      <alignment horizontal="left" vertical="top" wrapText="1"/>
    </xf>
    <xf numFmtId="0" fontId="6" fillId="6" borderId="11" xfId="0" applyFont="1" applyFill="1" applyBorder="1" applyAlignment="1">
      <alignment horizontal="center" vertical="top" wrapText="1"/>
    </xf>
    <xf numFmtId="0" fontId="6" fillId="5" borderId="11" xfId="0" applyFont="1" applyFill="1" applyBorder="1" applyAlignment="1">
      <alignment horizontal="center" vertical="top" wrapText="1"/>
    </xf>
    <xf numFmtId="0" fontId="2" fillId="2" borderId="9" xfId="0" applyFont="1" applyFill="1" applyBorder="1" applyAlignment="1">
      <alignment horizontal="center" vertical="center" wrapText="1"/>
    </xf>
    <xf numFmtId="0" fontId="0" fillId="2" borderId="9" xfId="0" applyFill="1" applyBorder="1" applyAlignment="1">
      <alignment vertical="center" wrapText="1"/>
    </xf>
    <xf numFmtId="0" fontId="2" fillId="3" borderId="9" xfId="0" applyFont="1" applyFill="1" applyBorder="1" applyAlignment="1">
      <alignment horizontal="center" vertical="center" wrapText="1"/>
    </xf>
    <xf numFmtId="0" fontId="0" fillId="3" borderId="9" xfId="0" applyFill="1" applyBorder="1" applyAlignment="1">
      <alignment vertical="center" wrapText="1"/>
    </xf>
    <xf numFmtId="0" fontId="0" fillId="0" borderId="0" xfId="0" applyAlignment="1">
      <alignment wrapText="1"/>
    </xf>
    <xf numFmtId="0" fontId="2" fillId="0" borderId="12" xfId="0" applyFont="1" applyBorder="1" applyAlignment="1">
      <alignment horizontal="center" vertical="center" wrapText="1"/>
    </xf>
    <xf numFmtId="0" fontId="2" fillId="0" borderId="8" xfId="0" applyFont="1" applyBorder="1" applyAlignment="1">
      <alignment horizontal="center" vertical="center" wrapText="1"/>
    </xf>
    <xf numFmtId="0" fontId="3" fillId="0" borderId="8" xfId="1" applyBorder="1" applyAlignment="1">
      <alignment horizontal="center" vertical="center" wrapText="1"/>
    </xf>
    <xf numFmtId="0" fontId="0" fillId="0" borderId="11" xfId="0" applyFont="1" applyBorder="1" applyAlignment="1">
      <alignment horizontal="center" vertical="top" wrapText="1"/>
    </xf>
    <xf numFmtId="0" fontId="4" fillId="0" borderId="11" xfId="0" applyFont="1" applyBorder="1" applyAlignment="1">
      <alignment horizontal="left" vertical="top" wrapText="1"/>
    </xf>
    <xf numFmtId="0" fontId="2" fillId="0" borderId="13" xfId="0" applyFont="1" applyBorder="1" applyAlignment="1">
      <alignment horizontal="center" vertical="center" wrapText="1"/>
    </xf>
    <xf numFmtId="0" fontId="12" fillId="0" borderId="0" xfId="0" applyFont="1" applyAlignment="1">
      <alignment horizontal="right" wrapText="1"/>
    </xf>
    <xf numFmtId="0" fontId="12" fillId="0" borderId="0" xfId="0" applyFont="1" applyAlignment="1">
      <alignment wrapText="1"/>
    </xf>
    <xf numFmtId="0" fontId="12" fillId="0" borderId="0" xfId="0" applyFont="1" applyAlignment="1">
      <alignment vertical="center"/>
    </xf>
    <xf numFmtId="0" fontId="2" fillId="3" borderId="0" xfId="0" applyFont="1" applyFill="1" applyAlignment="1">
      <alignment wrapText="1"/>
    </xf>
    <xf numFmtId="0" fontId="2" fillId="3" borderId="0" xfId="0" applyFont="1" applyFill="1" applyAlignment="1">
      <alignment horizontal="center" wrapText="1"/>
    </xf>
    <xf numFmtId="0" fontId="2" fillId="2" borderId="0" xfId="0" applyFont="1" applyFill="1" applyAlignment="1">
      <alignment wrapText="1"/>
    </xf>
    <xf numFmtId="0" fontId="2" fillId="2" borderId="0" xfId="0" applyFont="1" applyFill="1" applyAlignment="1">
      <alignment horizontal="center" wrapText="1"/>
    </xf>
    <xf numFmtId="0" fontId="13" fillId="0" borderId="0" xfId="0" applyFont="1" applyFill="1" applyAlignment="1">
      <alignment horizontal="left" vertical="top" wrapText="1"/>
    </xf>
    <xf numFmtId="0" fontId="13" fillId="0" borderId="14" xfId="0" applyFont="1" applyFill="1" applyBorder="1" applyAlignment="1">
      <alignment horizontal="left" vertical="top" wrapText="1"/>
    </xf>
    <xf numFmtId="0" fontId="14" fillId="0" borderId="0" xfId="0" applyFont="1" applyFill="1" applyAlignment="1">
      <alignment horizontal="left" vertical="top" wrapText="1"/>
    </xf>
    <xf numFmtId="0" fontId="15" fillId="0" borderId="0" xfId="0" applyFont="1" applyFill="1" applyAlignment="1">
      <alignment horizontal="left" vertical="top" wrapText="1"/>
    </xf>
    <xf numFmtId="20" fontId="13" fillId="0" borderId="0" xfId="0" applyNumberFormat="1" applyFont="1" applyFill="1" applyAlignment="1">
      <alignment horizontal="left" vertical="top" wrapText="1"/>
    </xf>
  </cellXfs>
  <cellStyles count="2">
    <cellStyle name="Гиперссылка" xfId="1" builtinId="8"/>
    <cellStyle name="Обычный"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cloud.ru/" TargetMode="External"/><Relationship Id="rId13" Type="http://schemas.openxmlformats.org/officeDocument/2006/relationships/printerSettings" Target="../printerSettings/printerSettings1.bin"/><Relationship Id="rId3" Type="http://schemas.openxmlformats.org/officeDocument/2006/relationships/hyperlink" Target="http://cloud.ru/" TargetMode="External"/><Relationship Id="rId7" Type="http://schemas.openxmlformats.org/officeDocument/2006/relationships/hyperlink" Target="http://cloud.ru/" TargetMode="External"/><Relationship Id="rId12" Type="http://schemas.openxmlformats.org/officeDocument/2006/relationships/hyperlink" Target="http://cloud.ru/" TargetMode="External"/><Relationship Id="rId2" Type="http://schemas.openxmlformats.org/officeDocument/2006/relationships/hyperlink" Target="http://cloud.ru/" TargetMode="External"/><Relationship Id="rId1" Type="http://schemas.openxmlformats.org/officeDocument/2006/relationships/hyperlink" Target="http://cloud.ru/" TargetMode="External"/><Relationship Id="rId6" Type="http://schemas.openxmlformats.org/officeDocument/2006/relationships/hyperlink" Target="http://cloud.ru/" TargetMode="External"/><Relationship Id="rId11" Type="http://schemas.openxmlformats.org/officeDocument/2006/relationships/hyperlink" Target="http://cloud.ru/" TargetMode="External"/><Relationship Id="rId5" Type="http://schemas.openxmlformats.org/officeDocument/2006/relationships/hyperlink" Target="http://cloud.ru/" TargetMode="External"/><Relationship Id="rId10" Type="http://schemas.openxmlformats.org/officeDocument/2006/relationships/hyperlink" Target="http://cloud.ru/" TargetMode="External"/><Relationship Id="rId4" Type="http://schemas.openxmlformats.org/officeDocument/2006/relationships/hyperlink" Target="http://cloud.ru/" TargetMode="External"/><Relationship Id="rId9" Type="http://schemas.openxmlformats.org/officeDocument/2006/relationships/hyperlink" Target="http://cloud.ru/"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34"/>
  <sheetViews>
    <sheetView topLeftCell="A124" zoomScale="53" workbookViewId="0">
      <selection activeCell="B144" sqref="B144"/>
    </sheetView>
  </sheetViews>
  <sheetFormatPr defaultRowHeight="14.25"/>
  <cols>
    <col min="1" max="1" width="5.6640625" bestFit="1" customWidth="1"/>
    <col min="2" max="2" width="18.53125" customWidth="1"/>
    <col min="3" max="3" width="7.265625" bestFit="1" customWidth="1"/>
    <col min="4" max="4" width="38.19921875" customWidth="1"/>
    <col min="5" max="5" width="35.06640625" customWidth="1"/>
    <col min="6" max="6" width="32.33203125" bestFit="1" customWidth="1"/>
    <col min="7" max="7" width="24.1328125" customWidth="1"/>
    <col min="8" max="8" width="22.3984375" customWidth="1"/>
    <col min="9" max="9" width="19.46484375" bestFit="1" customWidth="1"/>
    <col min="10" max="11" width="14.3984375" bestFit="1" customWidth="1"/>
    <col min="12" max="12" width="3.06640625" bestFit="1" customWidth="1"/>
  </cols>
  <sheetData>
    <row r="1" spans="1:12" ht="15.75" thickBot="1">
      <c r="A1" s="1" t="s">
        <v>0</v>
      </c>
      <c r="B1" s="2" t="s">
        <v>1</v>
      </c>
      <c r="C1" s="2" t="s">
        <v>2</v>
      </c>
      <c r="D1" s="2" t="s">
        <v>3</v>
      </c>
      <c r="E1" s="2" t="s">
        <v>4</v>
      </c>
      <c r="F1" s="2" t="s">
        <v>5</v>
      </c>
      <c r="G1" s="19" t="s">
        <v>328</v>
      </c>
      <c r="H1" s="19" t="s">
        <v>329</v>
      </c>
      <c r="I1" s="19" t="s">
        <v>330</v>
      </c>
    </row>
    <row r="2" spans="1:12" ht="79.150000000000006" thickBot="1">
      <c r="A2" s="3">
        <v>1</v>
      </c>
      <c r="B2" s="4" t="s">
        <v>6</v>
      </c>
      <c r="C2" s="4">
        <v>401</v>
      </c>
      <c r="D2" s="4" t="s">
        <v>7</v>
      </c>
      <c r="E2" s="4" t="s">
        <v>8</v>
      </c>
      <c r="F2" s="5"/>
      <c r="G2" s="20" t="s">
        <v>7</v>
      </c>
      <c r="H2" s="20" t="s">
        <v>8</v>
      </c>
      <c r="I2" s="21"/>
      <c r="J2" t="str">
        <f t="shared" ref="J2:J65" si="0">IF(D2=G2,"ОК","Несоответствие")</f>
        <v>ОК</v>
      </c>
      <c r="K2" t="str">
        <f t="shared" ref="K2:K65" si="1">IF(E2=H2,"ОК","Несоответствие")</f>
        <v>ОК</v>
      </c>
      <c r="L2" t="str">
        <f t="shared" ref="L2:L65" si="2">IF(F2=I2,"ОК","Несоответствие")</f>
        <v>ОК</v>
      </c>
    </row>
    <row r="3" spans="1:12" ht="52.9" thickBot="1">
      <c r="A3" s="6">
        <v>2</v>
      </c>
      <c r="B3" s="7" t="s">
        <v>9</v>
      </c>
      <c r="C3" s="7">
        <v>401</v>
      </c>
      <c r="D3" s="7" t="s">
        <v>10</v>
      </c>
      <c r="E3" s="7" t="s">
        <v>11</v>
      </c>
      <c r="F3" s="8"/>
      <c r="G3" s="22" t="s">
        <v>10</v>
      </c>
      <c r="H3" s="22" t="s">
        <v>11</v>
      </c>
      <c r="I3" s="23"/>
      <c r="J3" t="str">
        <f t="shared" si="0"/>
        <v>ОК</v>
      </c>
      <c r="K3" t="str">
        <f t="shared" si="1"/>
        <v>ОК</v>
      </c>
      <c r="L3" t="str">
        <f t="shared" si="2"/>
        <v>ОК</v>
      </c>
    </row>
    <row r="4" spans="1:12" ht="52.9" thickBot="1">
      <c r="A4" s="3">
        <v>3</v>
      </c>
      <c r="B4" s="4" t="s">
        <v>12</v>
      </c>
      <c r="C4" s="4">
        <v>401</v>
      </c>
      <c r="D4" s="4" t="s">
        <v>13</v>
      </c>
      <c r="E4" s="4" t="s">
        <v>8</v>
      </c>
      <c r="F4" s="5"/>
      <c r="G4" s="20" t="s">
        <v>13</v>
      </c>
      <c r="H4" s="20" t="s">
        <v>8</v>
      </c>
      <c r="I4" s="21"/>
      <c r="J4" t="str">
        <f t="shared" si="0"/>
        <v>ОК</v>
      </c>
      <c r="K4" t="str">
        <f t="shared" si="1"/>
        <v>ОК</v>
      </c>
      <c r="L4" t="str">
        <f t="shared" si="2"/>
        <v>ОК</v>
      </c>
    </row>
    <row r="5" spans="1:12" ht="79.150000000000006" thickBot="1">
      <c r="A5" s="6">
        <v>4</v>
      </c>
      <c r="B5" s="7" t="s">
        <v>14</v>
      </c>
      <c r="C5" s="7">
        <v>401</v>
      </c>
      <c r="D5" s="7" t="s">
        <v>15</v>
      </c>
      <c r="E5" s="7" t="s">
        <v>16</v>
      </c>
      <c r="F5" s="8"/>
      <c r="G5" s="22" t="s">
        <v>15</v>
      </c>
      <c r="H5" s="22" t="s">
        <v>16</v>
      </c>
      <c r="I5" s="23"/>
      <c r="J5" t="str">
        <f t="shared" si="0"/>
        <v>ОК</v>
      </c>
      <c r="K5" t="str">
        <f t="shared" si="1"/>
        <v>ОК</v>
      </c>
      <c r="L5" t="str">
        <f t="shared" si="2"/>
        <v>ОК</v>
      </c>
    </row>
    <row r="6" spans="1:12" ht="52.9" thickBot="1">
      <c r="A6" s="3">
        <v>5</v>
      </c>
      <c r="B6" s="4" t="s">
        <v>17</v>
      </c>
      <c r="C6" s="4">
        <v>401</v>
      </c>
      <c r="D6" s="4" t="s">
        <v>18</v>
      </c>
      <c r="E6" s="4" t="s">
        <v>11</v>
      </c>
      <c r="F6" s="5"/>
      <c r="G6" s="20" t="s">
        <v>18</v>
      </c>
      <c r="H6" s="20" t="s">
        <v>11</v>
      </c>
      <c r="I6" s="21"/>
      <c r="J6" t="str">
        <f t="shared" si="0"/>
        <v>ОК</v>
      </c>
      <c r="K6" t="str">
        <f t="shared" si="1"/>
        <v>ОК</v>
      </c>
      <c r="L6" t="str">
        <f t="shared" si="2"/>
        <v>ОК</v>
      </c>
    </row>
    <row r="7" spans="1:12" ht="66" thickBot="1">
      <c r="A7" s="6">
        <v>6</v>
      </c>
      <c r="B7" s="7" t="s">
        <v>19</v>
      </c>
      <c r="C7" s="7">
        <v>401</v>
      </c>
      <c r="D7" s="7" t="s">
        <v>20</v>
      </c>
      <c r="E7" s="7" t="s">
        <v>11</v>
      </c>
      <c r="F7" s="8"/>
      <c r="G7" s="22" t="s">
        <v>20</v>
      </c>
      <c r="H7" s="22" t="s">
        <v>11</v>
      </c>
      <c r="I7" s="23"/>
      <c r="J7" t="str">
        <f t="shared" si="0"/>
        <v>ОК</v>
      </c>
      <c r="K7" t="str">
        <f t="shared" si="1"/>
        <v>ОК</v>
      </c>
      <c r="L7" t="str">
        <f t="shared" si="2"/>
        <v>ОК</v>
      </c>
    </row>
    <row r="8" spans="1:12" ht="52.9" thickBot="1">
      <c r="A8" s="3">
        <v>7</v>
      </c>
      <c r="B8" s="4" t="s">
        <v>21</v>
      </c>
      <c r="C8" s="4">
        <v>401</v>
      </c>
      <c r="D8" s="4" t="s">
        <v>22</v>
      </c>
      <c r="E8" s="4" t="s">
        <v>16</v>
      </c>
      <c r="F8" s="5"/>
      <c r="G8" s="20" t="s">
        <v>22</v>
      </c>
      <c r="H8" s="20" t="s">
        <v>16</v>
      </c>
      <c r="I8" s="21"/>
      <c r="J8" t="str">
        <f t="shared" si="0"/>
        <v>ОК</v>
      </c>
      <c r="K8" t="str">
        <f t="shared" si="1"/>
        <v>ОК</v>
      </c>
      <c r="L8" t="str">
        <f t="shared" si="2"/>
        <v>ОК</v>
      </c>
    </row>
    <row r="9" spans="1:12" ht="79.150000000000006" thickBot="1">
      <c r="A9" s="6">
        <v>8</v>
      </c>
      <c r="B9" s="7" t="s">
        <v>23</v>
      </c>
      <c r="C9" s="7">
        <v>401</v>
      </c>
      <c r="D9" s="7" t="s">
        <v>24</v>
      </c>
      <c r="E9" s="7" t="s">
        <v>25</v>
      </c>
      <c r="F9" s="7" t="s">
        <v>26</v>
      </c>
      <c r="G9" s="22" t="s">
        <v>24</v>
      </c>
      <c r="H9" s="22" t="s">
        <v>25</v>
      </c>
      <c r="I9" s="22" t="s">
        <v>26</v>
      </c>
      <c r="J9" t="str">
        <f t="shared" si="0"/>
        <v>ОК</v>
      </c>
      <c r="K9" t="str">
        <f t="shared" si="1"/>
        <v>ОК</v>
      </c>
      <c r="L9" t="str">
        <f t="shared" si="2"/>
        <v>ОК</v>
      </c>
    </row>
    <row r="10" spans="1:12" ht="79.150000000000006" thickBot="1">
      <c r="A10" s="3">
        <v>9</v>
      </c>
      <c r="B10" s="4" t="s">
        <v>27</v>
      </c>
      <c r="C10" s="4">
        <v>401</v>
      </c>
      <c r="D10" s="4" t="s">
        <v>28</v>
      </c>
      <c r="E10" s="4" t="s">
        <v>29</v>
      </c>
      <c r="F10" s="4" t="s">
        <v>30</v>
      </c>
      <c r="G10" s="20" t="s">
        <v>28</v>
      </c>
      <c r="H10" s="20" t="s">
        <v>29</v>
      </c>
      <c r="I10" s="20" t="s">
        <v>30</v>
      </c>
      <c r="J10" t="str">
        <f t="shared" si="0"/>
        <v>ОК</v>
      </c>
      <c r="K10" t="str">
        <f t="shared" si="1"/>
        <v>ОК</v>
      </c>
      <c r="L10" t="str">
        <f t="shared" si="2"/>
        <v>ОК</v>
      </c>
    </row>
    <row r="11" spans="1:12" ht="66" thickBot="1">
      <c r="A11" s="6">
        <v>10</v>
      </c>
      <c r="B11" s="7" t="s">
        <v>31</v>
      </c>
      <c r="C11" s="7">
        <v>401</v>
      </c>
      <c r="D11" s="7" t="s">
        <v>32</v>
      </c>
      <c r="E11" s="7" t="s">
        <v>33</v>
      </c>
      <c r="F11" s="8"/>
      <c r="G11" s="22" t="s">
        <v>32</v>
      </c>
      <c r="H11" s="22" t="s">
        <v>33</v>
      </c>
      <c r="I11" s="23"/>
      <c r="J11" t="str">
        <f t="shared" si="0"/>
        <v>ОК</v>
      </c>
      <c r="K11" t="str">
        <f t="shared" si="1"/>
        <v>ОК</v>
      </c>
      <c r="L11" t="str">
        <f t="shared" si="2"/>
        <v>ОК</v>
      </c>
    </row>
    <row r="12" spans="1:12" ht="65.650000000000006">
      <c r="A12" s="26">
        <v>11</v>
      </c>
      <c r="B12" s="26" t="s">
        <v>34</v>
      </c>
      <c r="C12" s="26">
        <v>401</v>
      </c>
      <c r="D12" s="26" t="s">
        <v>35</v>
      </c>
      <c r="E12" s="9" t="s">
        <v>304</v>
      </c>
      <c r="F12" s="27"/>
      <c r="G12" s="20" t="s">
        <v>35</v>
      </c>
      <c r="H12" s="20" t="s">
        <v>304</v>
      </c>
      <c r="I12" s="21"/>
      <c r="J12" t="str">
        <f t="shared" si="0"/>
        <v>ОК</v>
      </c>
      <c r="K12" t="str">
        <f t="shared" si="1"/>
        <v>ОК</v>
      </c>
      <c r="L12" t="str">
        <f t="shared" si="2"/>
        <v>ОК</v>
      </c>
    </row>
    <row r="13" spans="1:12" ht="46.5" thickBot="1">
      <c r="A13" s="6">
        <v>12</v>
      </c>
      <c r="B13" s="7" t="s">
        <v>36</v>
      </c>
      <c r="C13" s="7">
        <v>401</v>
      </c>
      <c r="D13" s="7" t="s">
        <v>37</v>
      </c>
      <c r="E13" s="7" t="s">
        <v>38</v>
      </c>
      <c r="F13" s="8"/>
      <c r="J13" t="str">
        <f t="shared" si="0"/>
        <v>Несоответствие</v>
      </c>
      <c r="K13" t="str">
        <f t="shared" si="1"/>
        <v>Несоответствие</v>
      </c>
      <c r="L13" t="str">
        <f t="shared" si="2"/>
        <v>ОК</v>
      </c>
    </row>
    <row r="14" spans="1:12" ht="52.9" thickBot="1">
      <c r="A14" s="3">
        <v>13</v>
      </c>
      <c r="B14" s="4" t="s">
        <v>39</v>
      </c>
      <c r="C14" s="4">
        <v>401</v>
      </c>
      <c r="D14" s="4" t="s">
        <v>40</v>
      </c>
      <c r="E14" s="4" t="s">
        <v>41</v>
      </c>
      <c r="F14" s="5"/>
      <c r="G14" s="22" t="s">
        <v>40</v>
      </c>
      <c r="H14" s="22" t="s">
        <v>41</v>
      </c>
      <c r="I14" s="23"/>
      <c r="J14" t="str">
        <f t="shared" si="0"/>
        <v>ОК</v>
      </c>
      <c r="K14" t="str">
        <f t="shared" si="1"/>
        <v>ОК</v>
      </c>
      <c r="L14" t="str">
        <f t="shared" si="2"/>
        <v>ОК</v>
      </c>
    </row>
    <row r="15" spans="1:12" ht="52.9" thickBot="1">
      <c r="A15" s="6">
        <v>14</v>
      </c>
      <c r="B15" s="7" t="s">
        <v>42</v>
      </c>
      <c r="C15" s="7">
        <v>401</v>
      </c>
      <c r="D15" s="7" t="s">
        <v>43</v>
      </c>
      <c r="E15" s="7" t="s">
        <v>11</v>
      </c>
      <c r="F15" s="8"/>
      <c r="G15" s="20" t="s">
        <v>43</v>
      </c>
      <c r="H15" s="20" t="s">
        <v>11</v>
      </c>
      <c r="I15" s="21"/>
      <c r="J15" t="str">
        <f t="shared" si="0"/>
        <v>ОК</v>
      </c>
      <c r="K15" t="str">
        <f t="shared" si="1"/>
        <v>ОК</v>
      </c>
      <c r="L15" t="str">
        <f t="shared" si="2"/>
        <v>ОК</v>
      </c>
    </row>
    <row r="16" spans="1:12" ht="66" thickBot="1">
      <c r="A16" s="3">
        <v>15</v>
      </c>
      <c r="B16" s="4" t="s">
        <v>44</v>
      </c>
      <c r="C16" s="4">
        <v>401</v>
      </c>
      <c r="D16" s="4" t="s">
        <v>45</v>
      </c>
      <c r="E16" s="4" t="s">
        <v>46</v>
      </c>
      <c r="F16" s="5"/>
      <c r="G16" s="22" t="s">
        <v>45</v>
      </c>
      <c r="H16" s="22" t="s">
        <v>46</v>
      </c>
      <c r="I16" s="23"/>
      <c r="J16" t="str">
        <f t="shared" si="0"/>
        <v>ОК</v>
      </c>
      <c r="K16" t="str">
        <f t="shared" si="1"/>
        <v>ОК</v>
      </c>
      <c r="L16" t="str">
        <f t="shared" si="2"/>
        <v>ОК</v>
      </c>
    </row>
    <row r="17" spans="1:12" ht="52.9" thickBot="1">
      <c r="A17" s="6">
        <v>16</v>
      </c>
      <c r="B17" s="7" t="s">
        <v>47</v>
      </c>
      <c r="C17" s="7">
        <v>401</v>
      </c>
      <c r="D17" s="7" t="s">
        <v>48</v>
      </c>
      <c r="E17" s="7" t="s">
        <v>11</v>
      </c>
      <c r="F17" s="5"/>
      <c r="G17" s="20" t="s">
        <v>48</v>
      </c>
      <c r="H17" s="20" t="s">
        <v>11</v>
      </c>
      <c r="I17" s="21"/>
      <c r="J17" t="str">
        <f t="shared" si="0"/>
        <v>ОК</v>
      </c>
      <c r="K17" t="str">
        <f t="shared" si="1"/>
        <v>ОК</v>
      </c>
      <c r="L17" t="str">
        <f t="shared" si="2"/>
        <v>ОК</v>
      </c>
    </row>
    <row r="18" spans="1:12" ht="65.650000000000006">
      <c r="A18" s="26">
        <v>17</v>
      </c>
      <c r="B18" s="26" t="s">
        <v>49</v>
      </c>
      <c r="C18" s="26">
        <v>401</v>
      </c>
      <c r="D18" s="22" t="s">
        <v>305</v>
      </c>
      <c r="E18" s="26" t="s">
        <v>46</v>
      </c>
      <c r="F18" s="27"/>
      <c r="G18" s="22" t="s">
        <v>305</v>
      </c>
      <c r="H18" s="22" t="s">
        <v>46</v>
      </c>
      <c r="I18" s="23"/>
      <c r="J18" t="str">
        <f t="shared" si="0"/>
        <v>ОК</v>
      </c>
      <c r="K18" t="str">
        <f t="shared" si="1"/>
        <v>ОК</v>
      </c>
      <c r="L18" t="str">
        <f t="shared" si="2"/>
        <v>ОК</v>
      </c>
    </row>
    <row r="19" spans="1:12" ht="52.9" thickBot="1">
      <c r="A19" s="6">
        <v>18</v>
      </c>
      <c r="B19" s="7" t="s">
        <v>50</v>
      </c>
      <c r="C19" s="7">
        <v>401</v>
      </c>
      <c r="D19" s="7" t="s">
        <v>51</v>
      </c>
      <c r="E19" s="7" t="s">
        <v>8</v>
      </c>
      <c r="F19" s="8"/>
      <c r="G19" s="20" t="s">
        <v>51</v>
      </c>
      <c r="H19" s="20" t="s">
        <v>8</v>
      </c>
      <c r="I19" s="21"/>
      <c r="J19" t="str">
        <f t="shared" si="0"/>
        <v>ОК</v>
      </c>
      <c r="K19" t="str">
        <f t="shared" si="1"/>
        <v>ОК</v>
      </c>
      <c r="L19" t="str">
        <f t="shared" si="2"/>
        <v>ОК</v>
      </c>
    </row>
    <row r="20" spans="1:12" ht="66" thickBot="1">
      <c r="A20" s="3">
        <v>19</v>
      </c>
      <c r="B20" s="4" t="s">
        <v>52</v>
      </c>
      <c r="C20" s="4">
        <v>401</v>
      </c>
      <c r="D20" s="4" t="s">
        <v>53</v>
      </c>
      <c r="E20" s="4" t="s">
        <v>54</v>
      </c>
      <c r="F20" s="4" t="s">
        <v>29</v>
      </c>
      <c r="G20" s="22" t="s">
        <v>53</v>
      </c>
      <c r="H20" s="22" t="s">
        <v>54</v>
      </c>
      <c r="I20" s="22" t="s">
        <v>29</v>
      </c>
      <c r="J20" t="str">
        <f t="shared" si="0"/>
        <v>ОК</v>
      </c>
      <c r="K20" t="str">
        <f t="shared" si="1"/>
        <v>ОК</v>
      </c>
      <c r="L20" t="str">
        <f t="shared" si="2"/>
        <v>ОК</v>
      </c>
    </row>
    <row r="21" spans="1:12" ht="65.650000000000006">
      <c r="A21" s="28">
        <v>20</v>
      </c>
      <c r="B21" s="28" t="s">
        <v>55</v>
      </c>
      <c r="C21" s="28">
        <v>401</v>
      </c>
      <c r="D21" s="28" t="s">
        <v>56</v>
      </c>
      <c r="E21" s="20" t="s">
        <v>306</v>
      </c>
      <c r="F21" s="29"/>
      <c r="G21" s="20" t="s">
        <v>56</v>
      </c>
      <c r="H21" s="20" t="s">
        <v>306</v>
      </c>
      <c r="I21" s="21"/>
      <c r="J21" t="str">
        <f t="shared" si="0"/>
        <v>ОК</v>
      </c>
      <c r="K21" t="str">
        <f t="shared" si="1"/>
        <v>ОК</v>
      </c>
      <c r="L21" t="str">
        <f t="shared" si="2"/>
        <v>ОК</v>
      </c>
    </row>
    <row r="22" spans="1:12" ht="166.15" thickBot="1">
      <c r="A22" s="3">
        <v>21</v>
      </c>
      <c r="B22" s="4" t="s">
        <v>57</v>
      </c>
      <c r="C22" s="4">
        <v>401</v>
      </c>
      <c r="D22" s="4" t="s">
        <v>58</v>
      </c>
      <c r="E22" s="4" t="s">
        <v>59</v>
      </c>
      <c r="F22" s="24" t="s">
        <v>307</v>
      </c>
      <c r="G22" s="22" t="s">
        <v>58</v>
      </c>
      <c r="H22" s="22" t="s">
        <v>59</v>
      </c>
      <c r="I22" s="24" t="s">
        <v>307</v>
      </c>
      <c r="J22" t="str">
        <f t="shared" si="0"/>
        <v>ОК</v>
      </c>
      <c r="K22" t="str">
        <f t="shared" si="1"/>
        <v>ОК</v>
      </c>
      <c r="L22" t="str">
        <f t="shared" si="2"/>
        <v>ОК</v>
      </c>
    </row>
    <row r="23" spans="1:12" ht="66" thickBot="1">
      <c r="A23" s="28">
        <v>22</v>
      </c>
      <c r="B23" s="28" t="s">
        <v>61</v>
      </c>
      <c r="C23" s="28">
        <v>401</v>
      </c>
      <c r="D23" s="28" t="s">
        <v>62</v>
      </c>
      <c r="E23" s="20" t="s">
        <v>308</v>
      </c>
      <c r="F23" s="29"/>
      <c r="G23" s="20" t="s">
        <v>62</v>
      </c>
      <c r="H23" s="20" t="s">
        <v>308</v>
      </c>
      <c r="I23" s="21"/>
      <c r="J23" t="str">
        <f t="shared" si="0"/>
        <v>ОК</v>
      </c>
      <c r="K23" t="str">
        <f t="shared" si="1"/>
        <v>ОК</v>
      </c>
      <c r="L23" t="str">
        <f t="shared" si="2"/>
        <v>ОК</v>
      </c>
    </row>
    <row r="24" spans="1:12" ht="66" thickBot="1">
      <c r="A24" s="26">
        <v>23</v>
      </c>
      <c r="B24" s="26" t="s">
        <v>63</v>
      </c>
      <c r="C24" s="26">
        <v>401</v>
      </c>
      <c r="D24" s="26" t="s">
        <v>64</v>
      </c>
      <c r="E24" s="22" t="s">
        <v>309</v>
      </c>
      <c r="F24" s="27"/>
      <c r="G24" s="22" t="s">
        <v>64</v>
      </c>
      <c r="H24" s="22" t="s">
        <v>309</v>
      </c>
      <c r="I24" s="22"/>
      <c r="J24" t="str">
        <f t="shared" si="0"/>
        <v>ОК</v>
      </c>
      <c r="K24" t="str">
        <f t="shared" si="1"/>
        <v>ОК</v>
      </c>
      <c r="L24" t="str">
        <f t="shared" si="2"/>
        <v>ОК</v>
      </c>
    </row>
    <row r="25" spans="1:12" ht="105.4" thickBot="1">
      <c r="A25" s="28">
        <v>24</v>
      </c>
      <c r="B25" s="28" t="s">
        <v>65</v>
      </c>
      <c r="C25" s="28">
        <v>401</v>
      </c>
      <c r="D25" s="28" t="s">
        <v>66</v>
      </c>
      <c r="E25" s="20" t="s">
        <v>310</v>
      </c>
      <c r="F25" s="29"/>
      <c r="G25" s="20" t="s">
        <v>66</v>
      </c>
      <c r="H25" s="20" t="s">
        <v>310</v>
      </c>
      <c r="I25" s="21"/>
      <c r="J25" t="str">
        <f t="shared" si="0"/>
        <v>ОК</v>
      </c>
      <c r="K25" t="str">
        <f t="shared" si="1"/>
        <v>ОК</v>
      </c>
      <c r="L25" t="str">
        <f t="shared" si="2"/>
        <v>ОК</v>
      </c>
    </row>
    <row r="26" spans="1:12" ht="65.650000000000006">
      <c r="A26" s="26">
        <v>25</v>
      </c>
      <c r="B26" s="26" t="s">
        <v>67</v>
      </c>
      <c r="C26" s="26">
        <v>406</v>
      </c>
      <c r="D26" s="22" t="s">
        <v>311</v>
      </c>
      <c r="E26" s="22" t="s">
        <v>304</v>
      </c>
      <c r="F26" s="27"/>
      <c r="G26" s="22" t="s">
        <v>311</v>
      </c>
      <c r="H26" s="22" t="s">
        <v>304</v>
      </c>
      <c r="I26" s="23"/>
      <c r="J26" t="str">
        <f t="shared" si="0"/>
        <v>ОК</v>
      </c>
      <c r="K26" t="str">
        <f t="shared" si="1"/>
        <v>ОК</v>
      </c>
      <c r="L26" t="str">
        <f t="shared" si="2"/>
        <v>ОК</v>
      </c>
    </row>
    <row r="27" spans="1:12" ht="52.9" thickBot="1">
      <c r="A27" s="6">
        <v>26</v>
      </c>
      <c r="B27" s="7" t="s">
        <v>68</v>
      </c>
      <c r="C27" s="7">
        <v>406</v>
      </c>
      <c r="D27" s="7" t="s">
        <v>69</v>
      </c>
      <c r="E27" s="7" t="s">
        <v>41</v>
      </c>
      <c r="F27" s="8"/>
      <c r="G27" s="20" t="s">
        <v>69</v>
      </c>
      <c r="H27" s="20" t="s">
        <v>41</v>
      </c>
      <c r="I27" s="20"/>
      <c r="J27" t="str">
        <f t="shared" si="0"/>
        <v>ОК</v>
      </c>
      <c r="K27" t="str">
        <f t="shared" si="1"/>
        <v>ОК</v>
      </c>
      <c r="L27" t="str">
        <f t="shared" si="2"/>
        <v>ОК</v>
      </c>
    </row>
    <row r="28" spans="1:12" ht="66" thickBot="1">
      <c r="A28" s="3">
        <v>27</v>
      </c>
      <c r="B28" s="4" t="s">
        <v>70</v>
      </c>
      <c r="C28" s="4">
        <v>406</v>
      </c>
      <c r="D28" s="4" t="s">
        <v>71</v>
      </c>
      <c r="E28" s="4" t="s">
        <v>16</v>
      </c>
      <c r="F28" s="5"/>
      <c r="G28" s="22" t="s">
        <v>71</v>
      </c>
      <c r="H28" s="22" t="s">
        <v>16</v>
      </c>
      <c r="I28" s="21"/>
      <c r="J28" t="str">
        <f t="shared" si="0"/>
        <v>ОК</v>
      </c>
      <c r="K28" t="str">
        <f t="shared" si="1"/>
        <v>ОК</v>
      </c>
      <c r="L28" t="str">
        <f t="shared" si="2"/>
        <v>ОК</v>
      </c>
    </row>
    <row r="29" spans="1:12" ht="46.5" thickBot="1">
      <c r="A29" s="6">
        <v>28</v>
      </c>
      <c r="B29" s="7" t="s">
        <v>72</v>
      </c>
      <c r="C29" s="7">
        <v>406</v>
      </c>
      <c r="D29" s="7" t="s">
        <v>73</v>
      </c>
      <c r="E29" s="7" t="s">
        <v>74</v>
      </c>
      <c r="F29" s="8"/>
      <c r="G29" s="20" t="s">
        <v>73</v>
      </c>
      <c r="H29" s="20" t="s">
        <v>74</v>
      </c>
      <c r="I29" s="20"/>
      <c r="J29" t="str">
        <f t="shared" si="0"/>
        <v>ОК</v>
      </c>
      <c r="K29" t="str">
        <f t="shared" si="1"/>
        <v>ОК</v>
      </c>
      <c r="L29" t="str">
        <f t="shared" si="2"/>
        <v>ОК</v>
      </c>
    </row>
    <row r="30" spans="1:12" ht="52.5">
      <c r="A30" s="26">
        <v>29</v>
      </c>
      <c r="B30" s="26" t="s">
        <v>75</v>
      </c>
      <c r="C30" s="26">
        <v>406</v>
      </c>
      <c r="D30" s="22" t="s">
        <v>312</v>
      </c>
      <c r="E30" s="26" t="s">
        <v>8</v>
      </c>
      <c r="F30" s="27"/>
      <c r="G30" s="22" t="s">
        <v>312</v>
      </c>
      <c r="H30" s="22" t="s">
        <v>8</v>
      </c>
      <c r="I30" s="22"/>
      <c r="J30" t="str">
        <f t="shared" si="0"/>
        <v>ОК</v>
      </c>
      <c r="K30" t="str">
        <f t="shared" si="1"/>
        <v>ОК</v>
      </c>
      <c r="L30" t="str">
        <f t="shared" si="2"/>
        <v>ОК</v>
      </c>
    </row>
    <row r="31" spans="1:12" ht="66" thickBot="1">
      <c r="A31" s="6">
        <v>30</v>
      </c>
      <c r="B31" s="7" t="s">
        <v>76</v>
      </c>
      <c r="C31" s="7">
        <v>406</v>
      </c>
      <c r="D31" s="7" t="s">
        <v>77</v>
      </c>
      <c r="E31" s="7" t="s">
        <v>11</v>
      </c>
      <c r="F31" s="8"/>
      <c r="G31" s="20" t="s">
        <v>77</v>
      </c>
      <c r="H31" s="20" t="s">
        <v>11</v>
      </c>
      <c r="I31" s="21"/>
      <c r="J31" t="str">
        <f t="shared" si="0"/>
        <v>ОК</v>
      </c>
      <c r="K31" t="str">
        <f t="shared" si="1"/>
        <v>ОК</v>
      </c>
      <c r="L31" t="str">
        <f t="shared" si="2"/>
        <v>ОК</v>
      </c>
    </row>
    <row r="32" spans="1:12" ht="66" thickBot="1">
      <c r="A32" s="3">
        <v>31</v>
      </c>
      <c r="B32" s="4" t="s">
        <v>78</v>
      </c>
      <c r="C32" s="4">
        <v>406</v>
      </c>
      <c r="D32" s="4" t="s">
        <v>79</v>
      </c>
      <c r="E32" s="4" t="s">
        <v>80</v>
      </c>
      <c r="F32" s="5"/>
      <c r="G32" s="22" t="s">
        <v>79</v>
      </c>
      <c r="H32" s="22" t="s">
        <v>80</v>
      </c>
      <c r="I32" s="23"/>
      <c r="J32" t="str">
        <f t="shared" si="0"/>
        <v>ОК</v>
      </c>
      <c r="K32" t="str">
        <f t="shared" si="1"/>
        <v>ОК</v>
      </c>
      <c r="L32" t="str">
        <f t="shared" si="2"/>
        <v>ОК</v>
      </c>
    </row>
    <row r="33" spans="1:12" ht="66" thickBot="1">
      <c r="A33" s="6">
        <v>32</v>
      </c>
      <c r="B33" s="7" t="s">
        <v>81</v>
      </c>
      <c r="C33" s="7">
        <v>406</v>
      </c>
      <c r="D33" s="7" t="s">
        <v>82</v>
      </c>
      <c r="E33" s="7" t="s">
        <v>11</v>
      </c>
      <c r="F33" s="8"/>
      <c r="G33" s="20" t="s">
        <v>82</v>
      </c>
      <c r="H33" s="20" t="s">
        <v>11</v>
      </c>
      <c r="I33" s="21"/>
      <c r="J33" t="str">
        <f t="shared" si="0"/>
        <v>ОК</v>
      </c>
      <c r="K33" t="str">
        <f t="shared" si="1"/>
        <v>ОК</v>
      </c>
      <c r="L33" t="str">
        <f t="shared" si="2"/>
        <v>ОК</v>
      </c>
    </row>
    <row r="34" spans="1:12" ht="79.150000000000006" thickBot="1">
      <c r="A34" s="3">
        <v>33</v>
      </c>
      <c r="B34" s="4" t="s">
        <v>83</v>
      </c>
      <c r="C34" s="4">
        <v>406</v>
      </c>
      <c r="D34" s="4" t="s">
        <v>84</v>
      </c>
      <c r="E34" s="4" t="s">
        <v>25</v>
      </c>
      <c r="F34" s="4" t="s">
        <v>26</v>
      </c>
      <c r="G34" s="22" t="s">
        <v>84</v>
      </c>
      <c r="H34" s="22" t="s">
        <v>25</v>
      </c>
      <c r="I34" s="22" t="s">
        <v>26</v>
      </c>
      <c r="J34" t="str">
        <f t="shared" si="0"/>
        <v>ОК</v>
      </c>
      <c r="K34" t="str">
        <f t="shared" si="1"/>
        <v>ОК</v>
      </c>
      <c r="L34" t="str">
        <f t="shared" si="2"/>
        <v>ОК</v>
      </c>
    </row>
    <row r="35" spans="1:12" ht="52.9" thickBot="1">
      <c r="A35" s="6">
        <v>34</v>
      </c>
      <c r="B35" s="7" t="s">
        <v>85</v>
      </c>
      <c r="C35" s="7">
        <v>406</v>
      </c>
      <c r="D35" s="7" t="s">
        <v>86</v>
      </c>
      <c r="E35" s="7" t="s">
        <v>8</v>
      </c>
      <c r="F35" s="8"/>
      <c r="G35" s="20" t="s">
        <v>86</v>
      </c>
      <c r="H35" s="20" t="s">
        <v>8</v>
      </c>
      <c r="I35" s="20"/>
      <c r="J35" t="str">
        <f t="shared" si="0"/>
        <v>ОК</v>
      </c>
      <c r="K35" t="str">
        <f t="shared" si="1"/>
        <v>ОК</v>
      </c>
      <c r="L35" t="str">
        <f t="shared" si="2"/>
        <v>ОК</v>
      </c>
    </row>
    <row r="36" spans="1:12" ht="79.150000000000006" thickBot="1">
      <c r="A36" s="3">
        <v>35</v>
      </c>
      <c r="B36" s="4" t="s">
        <v>87</v>
      </c>
      <c r="C36" s="4">
        <v>406</v>
      </c>
      <c r="D36" s="4" t="s">
        <v>88</v>
      </c>
      <c r="E36" s="4" t="s">
        <v>89</v>
      </c>
      <c r="F36" s="4" t="s">
        <v>74</v>
      </c>
      <c r="G36" s="22" t="s">
        <v>88</v>
      </c>
      <c r="H36" s="22" t="s">
        <v>89</v>
      </c>
      <c r="I36" s="22" t="s">
        <v>74</v>
      </c>
      <c r="J36" t="str">
        <f t="shared" si="0"/>
        <v>ОК</v>
      </c>
      <c r="K36" t="str">
        <f t="shared" si="1"/>
        <v>ОК</v>
      </c>
      <c r="L36" t="str">
        <f t="shared" si="2"/>
        <v>ОК</v>
      </c>
    </row>
    <row r="37" spans="1:12" ht="66" thickBot="1">
      <c r="A37" s="6">
        <v>36</v>
      </c>
      <c r="B37" s="7" t="s">
        <v>90</v>
      </c>
      <c r="C37" s="7">
        <v>406</v>
      </c>
      <c r="D37" s="7" t="s">
        <v>91</v>
      </c>
      <c r="E37" s="7" t="s">
        <v>92</v>
      </c>
      <c r="F37" s="8"/>
      <c r="G37" s="20" t="s">
        <v>91</v>
      </c>
      <c r="H37" s="20" t="s">
        <v>92</v>
      </c>
      <c r="I37" s="21"/>
      <c r="J37" t="str">
        <f t="shared" si="0"/>
        <v>ОК</v>
      </c>
      <c r="K37" t="str">
        <f t="shared" si="1"/>
        <v>ОК</v>
      </c>
      <c r="L37" t="str">
        <f t="shared" si="2"/>
        <v>ОК</v>
      </c>
    </row>
    <row r="38" spans="1:12" ht="166.15" thickBot="1">
      <c r="A38" s="3">
        <v>37</v>
      </c>
      <c r="B38" s="4" t="s">
        <v>93</v>
      </c>
      <c r="C38" s="4">
        <v>406</v>
      </c>
      <c r="D38" s="4" t="s">
        <v>94</v>
      </c>
      <c r="E38" s="4" t="s">
        <v>29</v>
      </c>
      <c r="F38" s="24" t="s">
        <v>307</v>
      </c>
      <c r="G38" s="22" t="s">
        <v>94</v>
      </c>
      <c r="H38" s="22" t="s">
        <v>29</v>
      </c>
      <c r="I38" s="24" t="s">
        <v>307</v>
      </c>
      <c r="J38" t="str">
        <f t="shared" si="0"/>
        <v>ОК</v>
      </c>
      <c r="K38" t="str">
        <f t="shared" si="1"/>
        <v>ОК</v>
      </c>
      <c r="L38" t="str">
        <f t="shared" si="2"/>
        <v>ОК</v>
      </c>
    </row>
    <row r="39" spans="1:12" ht="166.15" thickBot="1">
      <c r="A39" s="6">
        <v>38</v>
      </c>
      <c r="B39" s="7" t="s">
        <v>95</v>
      </c>
      <c r="C39" s="7">
        <v>406</v>
      </c>
      <c r="D39" s="7" t="s">
        <v>96</v>
      </c>
      <c r="E39" s="7" t="s">
        <v>59</v>
      </c>
      <c r="F39" s="25" t="s">
        <v>307</v>
      </c>
      <c r="G39" s="20" t="s">
        <v>96</v>
      </c>
      <c r="H39" s="20" t="s">
        <v>59</v>
      </c>
      <c r="I39" s="25" t="s">
        <v>307</v>
      </c>
      <c r="J39" t="str">
        <f t="shared" si="0"/>
        <v>ОК</v>
      </c>
      <c r="K39" t="str">
        <f t="shared" si="1"/>
        <v>ОК</v>
      </c>
      <c r="L39" t="str">
        <f t="shared" si="2"/>
        <v>ОК</v>
      </c>
    </row>
    <row r="40" spans="1:12" ht="65.650000000000006">
      <c r="A40" s="26">
        <v>39</v>
      </c>
      <c r="B40" s="26" t="s">
        <v>97</v>
      </c>
      <c r="C40" s="26">
        <v>406</v>
      </c>
      <c r="D40" s="22" t="s">
        <v>313</v>
      </c>
      <c r="E40" s="26" t="s">
        <v>89</v>
      </c>
      <c r="F40" s="26" t="s">
        <v>29</v>
      </c>
      <c r="G40" s="22" t="s">
        <v>313</v>
      </c>
      <c r="H40" s="22" t="s">
        <v>89</v>
      </c>
      <c r="I40" s="22" t="s">
        <v>29</v>
      </c>
      <c r="J40" t="str">
        <f t="shared" si="0"/>
        <v>ОК</v>
      </c>
      <c r="K40" t="str">
        <f t="shared" si="1"/>
        <v>ОК</v>
      </c>
      <c r="L40" t="str">
        <f t="shared" si="2"/>
        <v>ОК</v>
      </c>
    </row>
    <row r="41" spans="1:12" ht="66" thickBot="1">
      <c r="A41" s="6">
        <v>40</v>
      </c>
      <c r="B41" s="7" t="s">
        <v>98</v>
      </c>
      <c r="C41" s="7">
        <v>406</v>
      </c>
      <c r="D41" s="7" t="s">
        <v>99</v>
      </c>
      <c r="E41" s="7" t="s">
        <v>100</v>
      </c>
      <c r="F41" s="8"/>
      <c r="G41" s="20" t="s">
        <v>99</v>
      </c>
      <c r="H41" s="20" t="s">
        <v>100</v>
      </c>
      <c r="I41" s="21"/>
      <c r="J41" t="str">
        <f t="shared" si="0"/>
        <v>ОК</v>
      </c>
      <c r="K41" t="str">
        <f t="shared" si="1"/>
        <v>ОК</v>
      </c>
      <c r="L41" t="str">
        <f t="shared" si="2"/>
        <v>ОК</v>
      </c>
    </row>
    <row r="42" spans="1:12" ht="66" thickBot="1">
      <c r="A42" s="3">
        <v>41</v>
      </c>
      <c r="B42" s="4" t="s">
        <v>101</v>
      </c>
      <c r="C42" s="4">
        <v>406</v>
      </c>
      <c r="D42" s="4" t="s">
        <v>102</v>
      </c>
      <c r="E42" s="4" t="s">
        <v>100</v>
      </c>
      <c r="F42" s="5"/>
      <c r="G42" s="22" t="s">
        <v>102</v>
      </c>
      <c r="H42" s="22" t="s">
        <v>100</v>
      </c>
      <c r="I42" s="23"/>
      <c r="J42" t="str">
        <f t="shared" si="0"/>
        <v>ОК</v>
      </c>
      <c r="K42" t="str">
        <f t="shared" si="1"/>
        <v>ОК</v>
      </c>
      <c r="L42" t="str">
        <f t="shared" si="2"/>
        <v>ОК</v>
      </c>
    </row>
    <row r="43" spans="1:12" ht="66" thickBot="1">
      <c r="A43" s="6">
        <v>42</v>
      </c>
      <c r="B43" s="7" t="s">
        <v>103</v>
      </c>
      <c r="C43" s="7">
        <v>406</v>
      </c>
      <c r="D43" s="7" t="s">
        <v>104</v>
      </c>
      <c r="E43" s="7" t="s">
        <v>29</v>
      </c>
      <c r="F43" s="8"/>
      <c r="G43" s="20" t="s">
        <v>104</v>
      </c>
      <c r="H43" s="20" t="s">
        <v>29</v>
      </c>
      <c r="I43" s="21"/>
      <c r="J43" t="str">
        <f t="shared" si="0"/>
        <v>ОК</v>
      </c>
      <c r="K43" t="str">
        <f t="shared" si="1"/>
        <v>ОК</v>
      </c>
      <c r="L43" t="str">
        <f t="shared" si="2"/>
        <v>ОК</v>
      </c>
    </row>
    <row r="44" spans="1:12" ht="92.25" thickBot="1">
      <c r="A44" s="3">
        <v>43</v>
      </c>
      <c r="B44" s="4" t="s">
        <v>105</v>
      </c>
      <c r="C44" s="4">
        <v>406</v>
      </c>
      <c r="D44" s="22" t="s">
        <v>314</v>
      </c>
      <c r="E44" s="4" t="s">
        <v>89</v>
      </c>
      <c r="F44" s="4" t="s">
        <v>106</v>
      </c>
      <c r="G44" s="22" t="s">
        <v>314</v>
      </c>
      <c r="H44" s="22" t="s">
        <v>89</v>
      </c>
      <c r="I44" s="22" t="s">
        <v>106</v>
      </c>
      <c r="J44" t="str">
        <f t="shared" si="0"/>
        <v>ОК</v>
      </c>
      <c r="K44" t="str">
        <f t="shared" si="1"/>
        <v>ОК</v>
      </c>
      <c r="L44" t="str">
        <f t="shared" si="2"/>
        <v>ОК</v>
      </c>
    </row>
    <row r="45" spans="1:12" ht="66" thickBot="1">
      <c r="A45" s="6">
        <v>44</v>
      </c>
      <c r="B45" s="7" t="s">
        <v>107</v>
      </c>
      <c r="C45" s="7">
        <v>406</v>
      </c>
      <c r="D45" s="7" t="s">
        <v>108</v>
      </c>
      <c r="E45" s="7" t="s">
        <v>100</v>
      </c>
      <c r="F45" s="8"/>
      <c r="G45" s="20" t="s">
        <v>108</v>
      </c>
      <c r="H45" s="20" t="s">
        <v>100</v>
      </c>
      <c r="I45" s="21"/>
      <c r="J45" t="str">
        <f t="shared" si="0"/>
        <v>ОК</v>
      </c>
      <c r="K45" t="str">
        <f t="shared" si="1"/>
        <v>ОК</v>
      </c>
      <c r="L45" t="str">
        <f t="shared" si="2"/>
        <v>ОК</v>
      </c>
    </row>
    <row r="46" spans="1:12" ht="176.65" thickBot="1">
      <c r="A46" s="3">
        <v>45</v>
      </c>
      <c r="B46" s="4" t="s">
        <v>109</v>
      </c>
      <c r="C46" s="4">
        <v>406</v>
      </c>
      <c r="D46" s="4" t="s">
        <v>110</v>
      </c>
      <c r="E46" s="4" t="s">
        <v>8</v>
      </c>
      <c r="F46" s="30" t="s">
        <v>325</v>
      </c>
      <c r="G46" s="22" t="s">
        <v>110</v>
      </c>
      <c r="H46" s="22" t="s">
        <v>8</v>
      </c>
      <c r="I46" s="30" t="s">
        <v>325</v>
      </c>
      <c r="J46" t="str">
        <f t="shared" si="0"/>
        <v>ОК</v>
      </c>
      <c r="K46" t="str">
        <f t="shared" si="1"/>
        <v>ОК</v>
      </c>
      <c r="L46" t="str">
        <f t="shared" si="2"/>
        <v>ОК</v>
      </c>
    </row>
    <row r="47" spans="1:12" ht="52.9" thickBot="1">
      <c r="A47" s="6">
        <v>46</v>
      </c>
      <c r="B47" s="7" t="s">
        <v>111</v>
      </c>
      <c r="C47" s="7">
        <v>406</v>
      </c>
      <c r="D47" s="7" t="s">
        <v>112</v>
      </c>
      <c r="E47" s="7" t="s">
        <v>16</v>
      </c>
      <c r="F47" s="8"/>
      <c r="G47" s="20" t="s">
        <v>112</v>
      </c>
      <c r="H47" s="20" t="s">
        <v>16</v>
      </c>
      <c r="I47" s="21"/>
      <c r="J47" t="str">
        <f t="shared" si="0"/>
        <v>ОК</v>
      </c>
      <c r="K47" t="str">
        <f t="shared" si="1"/>
        <v>ОК</v>
      </c>
      <c r="L47" t="str">
        <f t="shared" si="2"/>
        <v>ОК</v>
      </c>
    </row>
    <row r="48" spans="1:12" ht="52.9" thickBot="1">
      <c r="A48" s="3">
        <v>47</v>
      </c>
      <c r="B48" s="4" t="s">
        <v>113</v>
      </c>
      <c r="C48" s="4">
        <v>406</v>
      </c>
      <c r="D48" s="4" t="s">
        <v>114</v>
      </c>
      <c r="E48" s="4" t="s">
        <v>16</v>
      </c>
      <c r="F48" s="5"/>
      <c r="G48" s="22" t="s">
        <v>114</v>
      </c>
      <c r="H48" s="22" t="s">
        <v>16</v>
      </c>
      <c r="I48" s="23"/>
      <c r="J48" t="str">
        <f t="shared" si="0"/>
        <v>ОК</v>
      </c>
      <c r="K48" t="str">
        <f t="shared" si="1"/>
        <v>ОК</v>
      </c>
      <c r="L48" t="str">
        <f t="shared" si="2"/>
        <v>ОК</v>
      </c>
    </row>
    <row r="49" spans="1:12" ht="52.9" thickBot="1">
      <c r="A49" s="6">
        <v>48</v>
      </c>
      <c r="B49" s="7" t="s">
        <v>115</v>
      </c>
      <c r="C49" s="7">
        <v>406</v>
      </c>
      <c r="D49" s="7" t="s">
        <v>116</v>
      </c>
      <c r="E49" s="7" t="s">
        <v>41</v>
      </c>
      <c r="F49" s="8"/>
      <c r="G49" s="20" t="s">
        <v>116</v>
      </c>
      <c r="H49" s="20" t="s">
        <v>41</v>
      </c>
      <c r="I49" s="21"/>
      <c r="J49" t="str">
        <f t="shared" si="0"/>
        <v>ОК</v>
      </c>
      <c r="K49" t="str">
        <f t="shared" si="1"/>
        <v>ОК</v>
      </c>
      <c r="L49" t="str">
        <f t="shared" si="2"/>
        <v>ОК</v>
      </c>
    </row>
    <row r="50" spans="1:12" ht="52.9" thickBot="1">
      <c r="A50" s="3">
        <v>49</v>
      </c>
      <c r="B50" s="4" t="s">
        <v>117</v>
      </c>
      <c r="C50" s="4">
        <v>407</v>
      </c>
      <c r="D50" s="4" t="s">
        <v>118</v>
      </c>
      <c r="E50" s="4" t="s">
        <v>8</v>
      </c>
      <c r="F50" s="5"/>
      <c r="G50" s="22" t="s">
        <v>118</v>
      </c>
      <c r="H50" s="22" t="s">
        <v>8</v>
      </c>
      <c r="I50" s="23"/>
      <c r="J50" t="str">
        <f t="shared" si="0"/>
        <v>ОК</v>
      </c>
      <c r="K50" t="str">
        <f t="shared" si="1"/>
        <v>ОК</v>
      </c>
      <c r="L50" t="str">
        <f t="shared" si="2"/>
        <v>ОК</v>
      </c>
    </row>
    <row r="51" spans="1:12" ht="46.5" thickBot="1">
      <c r="A51" s="6">
        <v>50</v>
      </c>
      <c r="B51" s="7" t="s">
        <v>119</v>
      </c>
      <c r="C51" s="7">
        <v>407</v>
      </c>
      <c r="D51" s="7" t="s">
        <v>120</v>
      </c>
      <c r="E51" s="7" t="s">
        <v>121</v>
      </c>
      <c r="F51" s="8"/>
      <c r="G51" s="20" t="s">
        <v>120</v>
      </c>
      <c r="H51" s="20" t="s">
        <v>121</v>
      </c>
      <c r="I51" s="21"/>
      <c r="J51" t="str">
        <f t="shared" si="0"/>
        <v>ОК</v>
      </c>
      <c r="K51" t="str">
        <f t="shared" si="1"/>
        <v>ОК</v>
      </c>
      <c r="L51" t="str">
        <f t="shared" si="2"/>
        <v>ОК</v>
      </c>
    </row>
    <row r="52" spans="1:12" ht="46.5" thickBot="1">
      <c r="A52" s="3">
        <v>51</v>
      </c>
      <c r="B52" s="4" t="s">
        <v>122</v>
      </c>
      <c r="C52" s="4">
        <v>407</v>
      </c>
      <c r="D52" s="4" t="s">
        <v>123</v>
      </c>
      <c r="E52" s="4" t="s">
        <v>121</v>
      </c>
      <c r="F52" s="5"/>
      <c r="G52" s="22" t="s">
        <v>123</v>
      </c>
      <c r="H52" s="22" t="s">
        <v>121</v>
      </c>
      <c r="I52" s="23"/>
      <c r="J52" t="str">
        <f t="shared" si="0"/>
        <v>ОК</v>
      </c>
      <c r="K52" t="str">
        <f t="shared" si="1"/>
        <v>ОК</v>
      </c>
      <c r="L52" t="str">
        <f t="shared" si="2"/>
        <v>ОК</v>
      </c>
    </row>
    <row r="53" spans="1:12" ht="66" thickBot="1">
      <c r="A53" s="6">
        <v>52</v>
      </c>
      <c r="B53" s="7" t="s">
        <v>124</v>
      </c>
      <c r="C53" s="7">
        <v>407</v>
      </c>
      <c r="D53" s="7" t="s">
        <v>125</v>
      </c>
      <c r="E53" s="7" t="s">
        <v>38</v>
      </c>
      <c r="F53" s="8"/>
      <c r="G53" s="20" t="s">
        <v>125</v>
      </c>
      <c r="H53" s="20" t="s">
        <v>38</v>
      </c>
      <c r="I53" s="21"/>
      <c r="J53" t="str">
        <f t="shared" si="0"/>
        <v>ОК</v>
      </c>
      <c r="K53" t="str">
        <f t="shared" si="1"/>
        <v>ОК</v>
      </c>
      <c r="L53" t="str">
        <f t="shared" si="2"/>
        <v>ОК</v>
      </c>
    </row>
    <row r="54" spans="1:12" ht="76.900000000000006">
      <c r="A54" s="26">
        <v>53</v>
      </c>
      <c r="B54" s="26" t="s">
        <v>126</v>
      </c>
      <c r="C54" s="26">
        <v>407</v>
      </c>
      <c r="D54" s="9" t="s">
        <v>326</v>
      </c>
      <c r="E54" s="26" t="s">
        <v>100</v>
      </c>
      <c r="F54" s="27"/>
      <c r="G54" s="9" t="s">
        <v>326</v>
      </c>
      <c r="H54" s="22" t="s">
        <v>100</v>
      </c>
      <c r="I54" s="23"/>
      <c r="J54" t="str">
        <f t="shared" si="0"/>
        <v>ОК</v>
      </c>
      <c r="K54" t="str">
        <f t="shared" si="1"/>
        <v>ОК</v>
      </c>
      <c r="L54" t="str">
        <f t="shared" si="2"/>
        <v>ОК</v>
      </c>
    </row>
    <row r="55" spans="1:12" ht="66" thickBot="1">
      <c r="A55" s="6">
        <v>54</v>
      </c>
      <c r="B55" s="7" t="s">
        <v>127</v>
      </c>
      <c r="C55" s="7">
        <v>407</v>
      </c>
      <c r="D55" s="7" t="s">
        <v>128</v>
      </c>
      <c r="E55" s="7" t="s">
        <v>38</v>
      </c>
      <c r="F55" s="8"/>
      <c r="G55" s="20" t="s">
        <v>128</v>
      </c>
      <c r="H55" s="20" t="s">
        <v>38</v>
      </c>
      <c r="I55" s="21"/>
      <c r="J55" t="str">
        <f t="shared" si="0"/>
        <v>ОК</v>
      </c>
      <c r="K55" t="str">
        <f t="shared" si="1"/>
        <v>ОК</v>
      </c>
      <c r="L55" t="str">
        <f t="shared" si="2"/>
        <v>ОК</v>
      </c>
    </row>
    <row r="56" spans="1:12" ht="79.150000000000006" thickBot="1">
      <c r="A56" s="3">
        <v>55</v>
      </c>
      <c r="B56" s="4" t="s">
        <v>129</v>
      </c>
      <c r="C56" s="4">
        <v>407</v>
      </c>
      <c r="D56" s="4" t="s">
        <v>130</v>
      </c>
      <c r="E56" s="4" t="s">
        <v>29</v>
      </c>
      <c r="F56" s="5"/>
      <c r="G56" s="22" t="s">
        <v>130</v>
      </c>
      <c r="H56" s="22" t="s">
        <v>29</v>
      </c>
      <c r="I56" s="23"/>
      <c r="J56" t="str">
        <f t="shared" si="0"/>
        <v>ОК</v>
      </c>
      <c r="K56" t="str">
        <f t="shared" si="1"/>
        <v>ОК</v>
      </c>
      <c r="L56" t="str">
        <f t="shared" si="2"/>
        <v>ОК</v>
      </c>
    </row>
    <row r="57" spans="1:12" ht="52.9" thickBot="1">
      <c r="A57" s="6">
        <v>56</v>
      </c>
      <c r="B57" s="7" t="s">
        <v>131</v>
      </c>
      <c r="C57" s="7">
        <v>407</v>
      </c>
      <c r="D57" s="7" t="s">
        <v>132</v>
      </c>
      <c r="E57" s="7" t="s">
        <v>41</v>
      </c>
      <c r="F57" s="8"/>
      <c r="G57" s="20" t="s">
        <v>132</v>
      </c>
      <c r="H57" s="20" t="s">
        <v>41</v>
      </c>
      <c r="I57" s="21"/>
      <c r="J57" t="str">
        <f t="shared" si="0"/>
        <v>ОК</v>
      </c>
      <c r="K57" t="str">
        <f t="shared" si="1"/>
        <v>ОК</v>
      </c>
      <c r="L57" t="str">
        <f t="shared" si="2"/>
        <v>ОК</v>
      </c>
    </row>
    <row r="58" spans="1:12" ht="66" thickBot="1">
      <c r="A58" s="3">
        <v>57</v>
      </c>
      <c r="B58" s="4" t="s">
        <v>133</v>
      </c>
      <c r="C58" s="4">
        <v>407</v>
      </c>
      <c r="D58" s="4" t="s">
        <v>134</v>
      </c>
      <c r="E58" s="4" t="s">
        <v>46</v>
      </c>
      <c r="F58" s="5"/>
      <c r="G58" s="22" t="s">
        <v>134</v>
      </c>
      <c r="H58" s="22" t="s">
        <v>46</v>
      </c>
      <c r="I58" s="23"/>
      <c r="J58" t="str">
        <f t="shared" si="0"/>
        <v>ОК</v>
      </c>
      <c r="K58" t="str">
        <f t="shared" si="1"/>
        <v>ОК</v>
      </c>
      <c r="L58" t="str">
        <f t="shared" si="2"/>
        <v>ОК</v>
      </c>
    </row>
    <row r="59" spans="1:12" ht="66" thickBot="1">
      <c r="A59" s="6">
        <v>58</v>
      </c>
      <c r="B59" s="7" t="s">
        <v>135</v>
      </c>
      <c r="C59" s="7">
        <v>407</v>
      </c>
      <c r="D59" s="7" t="s">
        <v>136</v>
      </c>
      <c r="E59" s="7" t="s">
        <v>137</v>
      </c>
      <c r="F59" s="8"/>
      <c r="G59" s="20" t="s">
        <v>136</v>
      </c>
      <c r="H59" s="20" t="s">
        <v>137</v>
      </c>
      <c r="I59" s="21"/>
      <c r="J59" t="str">
        <f t="shared" si="0"/>
        <v>ОК</v>
      </c>
      <c r="K59" t="str">
        <f t="shared" si="1"/>
        <v>ОК</v>
      </c>
      <c r="L59" t="str">
        <f t="shared" si="2"/>
        <v>ОК</v>
      </c>
    </row>
    <row r="60" spans="1:12" ht="52.9" thickBot="1">
      <c r="A60" s="3">
        <v>59</v>
      </c>
      <c r="B60" s="4" t="s">
        <v>138</v>
      </c>
      <c r="C60" s="4">
        <v>407</v>
      </c>
      <c r="D60" s="4" t="s">
        <v>139</v>
      </c>
      <c r="E60" s="4" t="s">
        <v>106</v>
      </c>
      <c r="F60" s="5"/>
      <c r="G60" s="22" t="s">
        <v>139</v>
      </c>
      <c r="H60" s="22" t="s">
        <v>106</v>
      </c>
      <c r="I60" s="23"/>
      <c r="J60" t="str">
        <f t="shared" si="0"/>
        <v>ОК</v>
      </c>
      <c r="K60" t="str">
        <f t="shared" si="1"/>
        <v>ОК</v>
      </c>
      <c r="L60" t="str">
        <f t="shared" si="2"/>
        <v>ОК</v>
      </c>
    </row>
    <row r="61" spans="1:12" ht="52.9" thickBot="1">
      <c r="A61" s="6">
        <v>60</v>
      </c>
      <c r="B61" s="7" t="s">
        <v>140</v>
      </c>
      <c r="C61" s="7">
        <v>407</v>
      </c>
      <c r="D61" s="7" t="s">
        <v>141</v>
      </c>
      <c r="E61" s="7" t="s">
        <v>41</v>
      </c>
      <c r="F61" s="8"/>
      <c r="G61" s="20" t="s">
        <v>141</v>
      </c>
      <c r="H61" s="20" t="s">
        <v>41</v>
      </c>
      <c r="I61" s="20"/>
      <c r="J61" t="str">
        <f t="shared" si="0"/>
        <v>ОК</v>
      </c>
      <c r="K61" t="str">
        <f t="shared" si="1"/>
        <v>ОК</v>
      </c>
      <c r="L61" t="str">
        <f t="shared" si="2"/>
        <v>ОК</v>
      </c>
    </row>
    <row r="62" spans="1:12" ht="78.75">
      <c r="A62" s="26">
        <v>61</v>
      </c>
      <c r="B62" s="26" t="s">
        <v>142</v>
      </c>
      <c r="C62" s="26">
        <v>407</v>
      </c>
      <c r="D62" s="22" t="s">
        <v>315</v>
      </c>
      <c r="E62" s="26" t="s">
        <v>41</v>
      </c>
      <c r="F62" s="26" t="s">
        <v>143</v>
      </c>
      <c r="G62" s="22" t="s">
        <v>315</v>
      </c>
      <c r="H62" s="22" t="s">
        <v>41</v>
      </c>
      <c r="I62" s="22" t="s">
        <v>143</v>
      </c>
      <c r="J62" t="str">
        <f t="shared" si="0"/>
        <v>ОК</v>
      </c>
      <c r="K62" t="str">
        <f t="shared" si="1"/>
        <v>ОК</v>
      </c>
      <c r="L62" t="str">
        <f t="shared" si="2"/>
        <v>ОК</v>
      </c>
    </row>
    <row r="63" spans="1:12" ht="79.150000000000006" thickBot="1">
      <c r="A63" s="6">
        <v>62</v>
      </c>
      <c r="B63" s="7" t="s">
        <v>144</v>
      </c>
      <c r="C63" s="7">
        <v>407</v>
      </c>
      <c r="D63" s="7" t="s">
        <v>145</v>
      </c>
      <c r="E63" s="7" t="s">
        <v>146</v>
      </c>
      <c r="F63" s="8"/>
      <c r="G63" s="20" t="s">
        <v>145</v>
      </c>
      <c r="H63" s="20" t="s">
        <v>146</v>
      </c>
      <c r="I63" s="21"/>
      <c r="J63" t="str">
        <f t="shared" si="0"/>
        <v>ОК</v>
      </c>
      <c r="K63" t="str">
        <f t="shared" si="1"/>
        <v>ОК</v>
      </c>
      <c r="L63" t="str">
        <f t="shared" si="2"/>
        <v>ОК</v>
      </c>
    </row>
    <row r="64" spans="1:12" ht="66" thickBot="1">
      <c r="A64" s="3">
        <v>63</v>
      </c>
      <c r="B64" s="4" t="s">
        <v>147</v>
      </c>
      <c r="C64" s="4">
        <v>407</v>
      </c>
      <c r="D64" s="4" t="s">
        <v>148</v>
      </c>
      <c r="E64" s="4" t="s">
        <v>146</v>
      </c>
      <c r="F64" s="5"/>
      <c r="G64" s="22" t="s">
        <v>148</v>
      </c>
      <c r="H64" s="22" t="s">
        <v>146</v>
      </c>
      <c r="I64" s="23"/>
      <c r="J64" t="str">
        <f t="shared" si="0"/>
        <v>ОК</v>
      </c>
      <c r="K64" t="str">
        <f t="shared" si="1"/>
        <v>ОК</v>
      </c>
      <c r="L64" t="str">
        <f t="shared" si="2"/>
        <v>ОК</v>
      </c>
    </row>
    <row r="65" spans="1:12" ht="66" thickBot="1">
      <c r="A65" s="6">
        <v>64</v>
      </c>
      <c r="B65" s="7" t="s">
        <v>149</v>
      </c>
      <c r="C65" s="7">
        <v>407</v>
      </c>
      <c r="D65" s="7" t="s">
        <v>150</v>
      </c>
      <c r="E65" s="7" t="s">
        <v>151</v>
      </c>
      <c r="F65" s="7" t="s">
        <v>29</v>
      </c>
      <c r="G65" s="20" t="s">
        <v>150</v>
      </c>
      <c r="H65" s="20" t="s">
        <v>151</v>
      </c>
      <c r="I65" s="20" t="s">
        <v>29</v>
      </c>
      <c r="J65" t="str">
        <f t="shared" si="0"/>
        <v>ОК</v>
      </c>
      <c r="K65" t="str">
        <f t="shared" si="1"/>
        <v>ОК</v>
      </c>
      <c r="L65" t="str">
        <f t="shared" si="2"/>
        <v>ОК</v>
      </c>
    </row>
    <row r="66" spans="1:12" ht="52.9" thickBot="1">
      <c r="A66" s="3">
        <v>65</v>
      </c>
      <c r="B66" s="4" t="s">
        <v>152</v>
      </c>
      <c r="C66" s="4">
        <v>407</v>
      </c>
      <c r="D66" s="4" t="s">
        <v>153</v>
      </c>
      <c r="E66" s="4" t="s">
        <v>16</v>
      </c>
      <c r="F66" s="5"/>
      <c r="G66" s="22" t="s">
        <v>153</v>
      </c>
      <c r="H66" s="22" t="s">
        <v>16</v>
      </c>
      <c r="I66" s="23"/>
      <c r="J66" t="str">
        <f t="shared" ref="J66:J129" si="3">IF(D66=G66,"ОК","Несоответствие")</f>
        <v>ОК</v>
      </c>
      <c r="K66" t="str">
        <f t="shared" ref="K66:K129" si="4">IF(E66=H66,"ОК","Несоответствие")</f>
        <v>ОК</v>
      </c>
      <c r="L66" t="str">
        <f t="shared" ref="L66:L129" si="5">IF(F66=I66,"ОК","Несоответствие")</f>
        <v>ОК</v>
      </c>
    </row>
    <row r="67" spans="1:12" ht="66" thickBot="1">
      <c r="A67" s="6">
        <v>66</v>
      </c>
      <c r="B67" s="7" t="s">
        <v>154</v>
      </c>
      <c r="C67" s="7">
        <v>407</v>
      </c>
      <c r="D67" s="7" t="s">
        <v>155</v>
      </c>
      <c r="E67" s="7" t="s">
        <v>146</v>
      </c>
      <c r="F67" s="8"/>
      <c r="G67" s="20" t="s">
        <v>155</v>
      </c>
      <c r="H67" s="20" t="s">
        <v>146</v>
      </c>
      <c r="I67" s="21"/>
      <c r="J67" t="str">
        <f t="shared" si="3"/>
        <v>ОК</v>
      </c>
      <c r="K67" t="str">
        <f t="shared" si="4"/>
        <v>ОК</v>
      </c>
      <c r="L67" t="str">
        <f t="shared" si="5"/>
        <v>ОК</v>
      </c>
    </row>
    <row r="68" spans="1:12" ht="66" thickBot="1">
      <c r="A68" s="3">
        <v>67</v>
      </c>
      <c r="B68" s="4" t="s">
        <v>156</v>
      </c>
      <c r="C68" s="4">
        <v>407</v>
      </c>
      <c r="D68" s="4" t="s">
        <v>157</v>
      </c>
      <c r="E68" s="4" t="s">
        <v>151</v>
      </c>
      <c r="F68" s="4" t="s">
        <v>29</v>
      </c>
      <c r="G68" s="22" t="s">
        <v>157</v>
      </c>
      <c r="H68" s="22" t="s">
        <v>151</v>
      </c>
      <c r="I68" s="22" t="s">
        <v>29</v>
      </c>
      <c r="J68" t="str">
        <f t="shared" si="3"/>
        <v>ОК</v>
      </c>
      <c r="K68" t="str">
        <f t="shared" si="4"/>
        <v>ОК</v>
      </c>
      <c r="L68" t="str">
        <f t="shared" si="5"/>
        <v>ОК</v>
      </c>
    </row>
    <row r="69" spans="1:12" ht="79.150000000000006" thickBot="1">
      <c r="A69" s="6">
        <v>68</v>
      </c>
      <c r="B69" s="7" t="s">
        <v>158</v>
      </c>
      <c r="C69" s="7">
        <v>407</v>
      </c>
      <c r="D69" s="7" t="s">
        <v>159</v>
      </c>
      <c r="E69" s="7" t="s">
        <v>100</v>
      </c>
      <c r="F69" s="8"/>
      <c r="G69" s="20" t="s">
        <v>159</v>
      </c>
      <c r="H69" s="20" t="s">
        <v>100</v>
      </c>
      <c r="I69" s="21"/>
      <c r="J69" t="str">
        <f t="shared" si="3"/>
        <v>ОК</v>
      </c>
      <c r="K69" t="str">
        <f t="shared" si="4"/>
        <v>ОК</v>
      </c>
      <c r="L69" t="str">
        <f t="shared" si="5"/>
        <v>ОК</v>
      </c>
    </row>
    <row r="70" spans="1:12" ht="52.9" thickBot="1">
      <c r="A70" s="3">
        <v>69</v>
      </c>
      <c r="B70" s="4" t="s">
        <v>160</v>
      </c>
      <c r="C70" s="4">
        <v>407</v>
      </c>
      <c r="D70" s="4" t="s">
        <v>161</v>
      </c>
      <c r="E70" s="4" t="s">
        <v>11</v>
      </c>
      <c r="F70" s="5"/>
      <c r="G70" s="22" t="s">
        <v>161</v>
      </c>
      <c r="H70" s="22" t="s">
        <v>11</v>
      </c>
      <c r="I70" s="23"/>
      <c r="J70" t="str">
        <f t="shared" si="3"/>
        <v>ОК</v>
      </c>
      <c r="K70" t="str">
        <f t="shared" si="4"/>
        <v>ОК</v>
      </c>
      <c r="L70" t="str">
        <f t="shared" si="5"/>
        <v>ОК</v>
      </c>
    </row>
    <row r="71" spans="1:12" ht="52.9" thickBot="1">
      <c r="A71" s="6">
        <v>70</v>
      </c>
      <c r="B71" s="7" t="s">
        <v>162</v>
      </c>
      <c r="C71" s="7">
        <v>407</v>
      </c>
      <c r="D71" s="7" t="s">
        <v>163</v>
      </c>
      <c r="E71" s="7" t="s">
        <v>164</v>
      </c>
      <c r="F71" s="8"/>
      <c r="G71" s="20" t="s">
        <v>163</v>
      </c>
      <c r="H71" s="20" t="s">
        <v>164</v>
      </c>
      <c r="I71" s="21"/>
      <c r="J71" t="str">
        <f t="shared" si="3"/>
        <v>ОК</v>
      </c>
      <c r="K71" t="str">
        <f t="shared" si="4"/>
        <v>ОК</v>
      </c>
      <c r="L71" t="str">
        <f t="shared" si="5"/>
        <v>ОК</v>
      </c>
    </row>
    <row r="72" spans="1:12" ht="66" thickBot="1">
      <c r="A72" s="3">
        <v>71</v>
      </c>
      <c r="B72" s="4" t="s">
        <v>165</v>
      </c>
      <c r="C72" s="4">
        <v>407</v>
      </c>
      <c r="D72" s="4" t="s">
        <v>166</v>
      </c>
      <c r="E72" s="4" t="s">
        <v>8</v>
      </c>
      <c r="F72" s="5"/>
      <c r="G72" s="22" t="s">
        <v>166</v>
      </c>
      <c r="H72" s="22" t="s">
        <v>8</v>
      </c>
      <c r="I72" s="23"/>
      <c r="J72" t="str">
        <f t="shared" si="3"/>
        <v>ОК</v>
      </c>
      <c r="K72" t="str">
        <f t="shared" si="4"/>
        <v>ОК</v>
      </c>
      <c r="L72" t="str">
        <f t="shared" si="5"/>
        <v>ОК</v>
      </c>
    </row>
    <row r="73" spans="1:12" ht="79.150000000000006" thickBot="1">
      <c r="A73" s="6">
        <v>72</v>
      </c>
      <c r="B73" s="7" t="s">
        <v>167</v>
      </c>
      <c r="C73" s="7">
        <v>407</v>
      </c>
      <c r="D73" s="7" t="s">
        <v>168</v>
      </c>
      <c r="E73" s="7" t="s">
        <v>11</v>
      </c>
      <c r="F73" s="8"/>
      <c r="G73" s="20" t="s">
        <v>168</v>
      </c>
      <c r="H73" s="20" t="s">
        <v>11</v>
      </c>
      <c r="I73" s="21"/>
      <c r="J73" t="str">
        <f t="shared" si="3"/>
        <v>ОК</v>
      </c>
      <c r="K73" t="str">
        <f t="shared" si="4"/>
        <v>ОК</v>
      </c>
      <c r="L73" t="str">
        <f t="shared" si="5"/>
        <v>ОК</v>
      </c>
    </row>
    <row r="74" spans="1:12" ht="52.9" thickBot="1">
      <c r="A74" s="3">
        <v>73</v>
      </c>
      <c r="B74" s="4" t="s">
        <v>169</v>
      </c>
      <c r="C74" s="4">
        <v>407</v>
      </c>
      <c r="D74" s="4" t="s">
        <v>170</v>
      </c>
      <c r="E74" s="4" t="s">
        <v>8</v>
      </c>
      <c r="F74" s="5"/>
      <c r="G74" s="22" t="s">
        <v>170</v>
      </c>
      <c r="H74" s="22" t="s">
        <v>8</v>
      </c>
      <c r="I74" s="23"/>
      <c r="J74" t="str">
        <f t="shared" si="3"/>
        <v>ОК</v>
      </c>
      <c r="K74" t="str">
        <f t="shared" si="4"/>
        <v>ОК</v>
      </c>
      <c r="L74" t="str">
        <f t="shared" si="5"/>
        <v>ОК</v>
      </c>
    </row>
    <row r="75" spans="1:12" ht="79.150000000000006" thickBot="1">
      <c r="A75" s="6">
        <v>74</v>
      </c>
      <c r="B75" s="7" t="s">
        <v>171</v>
      </c>
      <c r="C75" s="7">
        <v>408</v>
      </c>
      <c r="D75" s="7" t="s">
        <v>172</v>
      </c>
      <c r="E75" s="7" t="s">
        <v>151</v>
      </c>
      <c r="F75" s="7" t="s">
        <v>41</v>
      </c>
      <c r="G75" s="20" t="s">
        <v>172</v>
      </c>
      <c r="H75" s="20" t="s">
        <v>151</v>
      </c>
      <c r="I75" s="20" t="s">
        <v>41</v>
      </c>
      <c r="J75" t="str">
        <f t="shared" si="3"/>
        <v>ОК</v>
      </c>
      <c r="K75" t="str">
        <f t="shared" si="4"/>
        <v>ОК</v>
      </c>
      <c r="L75" t="str">
        <f t="shared" si="5"/>
        <v>ОК</v>
      </c>
    </row>
    <row r="76" spans="1:12" ht="66" thickBot="1">
      <c r="A76" s="3">
        <v>75</v>
      </c>
      <c r="B76" s="4" t="s">
        <v>173</v>
      </c>
      <c r="C76" s="4">
        <v>408</v>
      </c>
      <c r="D76" s="4" t="s">
        <v>174</v>
      </c>
      <c r="E76" s="4" t="s">
        <v>100</v>
      </c>
      <c r="F76" s="5"/>
      <c r="G76" s="22" t="s">
        <v>174</v>
      </c>
      <c r="H76" s="22" t="s">
        <v>100</v>
      </c>
      <c r="I76" s="23"/>
      <c r="J76" t="str">
        <f t="shared" si="3"/>
        <v>ОК</v>
      </c>
      <c r="K76" t="str">
        <f t="shared" si="4"/>
        <v>ОК</v>
      </c>
      <c r="L76" t="str">
        <f t="shared" si="5"/>
        <v>ОК</v>
      </c>
    </row>
    <row r="77" spans="1:12" ht="66" thickBot="1">
      <c r="A77" s="6">
        <v>76</v>
      </c>
      <c r="B77" s="7" t="s">
        <v>175</v>
      </c>
      <c r="C77" s="7">
        <v>408</v>
      </c>
      <c r="D77" s="7" t="s">
        <v>176</v>
      </c>
      <c r="E77" s="7" t="s">
        <v>177</v>
      </c>
      <c r="F77" s="7" t="s">
        <v>92</v>
      </c>
      <c r="G77" s="20" t="s">
        <v>176</v>
      </c>
      <c r="H77" s="20" t="s">
        <v>177</v>
      </c>
      <c r="I77" s="20" t="s">
        <v>92</v>
      </c>
      <c r="J77" t="str">
        <f t="shared" si="3"/>
        <v>ОК</v>
      </c>
      <c r="K77" t="str">
        <f t="shared" si="4"/>
        <v>ОК</v>
      </c>
      <c r="L77" t="str">
        <f t="shared" si="5"/>
        <v>ОК</v>
      </c>
    </row>
    <row r="78" spans="1:12" ht="65.650000000000006">
      <c r="A78" s="26">
        <v>77</v>
      </c>
      <c r="B78" s="26" t="s">
        <v>178</v>
      </c>
      <c r="C78" s="26">
        <v>408</v>
      </c>
      <c r="D78" s="26" t="s">
        <v>179</v>
      </c>
      <c r="E78" s="22" t="s">
        <v>306</v>
      </c>
      <c r="F78" s="27"/>
      <c r="G78" s="22" t="s">
        <v>179</v>
      </c>
      <c r="H78" s="22" t="s">
        <v>306</v>
      </c>
      <c r="I78" s="23"/>
      <c r="J78" t="str">
        <f t="shared" si="3"/>
        <v>ОК</v>
      </c>
      <c r="K78" t="str">
        <f t="shared" si="4"/>
        <v>ОК</v>
      </c>
      <c r="L78" t="str">
        <f t="shared" si="5"/>
        <v>ОК</v>
      </c>
    </row>
    <row r="79" spans="1:12" ht="66" thickBot="1">
      <c r="A79" s="6">
        <v>78</v>
      </c>
      <c r="B79" s="7" t="s">
        <v>180</v>
      </c>
      <c r="C79" s="7">
        <v>408</v>
      </c>
      <c r="D79" s="7" t="s">
        <v>181</v>
      </c>
      <c r="E79" s="7" t="s">
        <v>177</v>
      </c>
      <c r="F79" s="7" t="s">
        <v>92</v>
      </c>
      <c r="G79" s="20" t="s">
        <v>181</v>
      </c>
      <c r="H79" s="20" t="s">
        <v>177</v>
      </c>
      <c r="I79" s="20" t="s">
        <v>92</v>
      </c>
      <c r="J79" t="str">
        <f t="shared" si="3"/>
        <v>ОК</v>
      </c>
      <c r="K79" t="str">
        <f t="shared" si="4"/>
        <v>ОК</v>
      </c>
      <c r="L79" t="str">
        <f t="shared" si="5"/>
        <v>ОК</v>
      </c>
    </row>
    <row r="80" spans="1:12" ht="66" thickBot="1">
      <c r="A80" s="3">
        <v>79</v>
      </c>
      <c r="B80" s="4" t="s">
        <v>182</v>
      </c>
      <c r="C80" s="4">
        <v>408</v>
      </c>
      <c r="D80" s="4" t="s">
        <v>183</v>
      </c>
      <c r="E80" s="4" t="s">
        <v>100</v>
      </c>
      <c r="F80" s="5"/>
      <c r="G80" s="22" t="s">
        <v>183</v>
      </c>
      <c r="H80" s="22" t="s">
        <v>100</v>
      </c>
      <c r="I80" s="23"/>
      <c r="J80" t="str">
        <f t="shared" si="3"/>
        <v>ОК</v>
      </c>
      <c r="K80" t="str">
        <f t="shared" si="4"/>
        <v>ОК</v>
      </c>
      <c r="L80" t="str">
        <f t="shared" si="5"/>
        <v>ОК</v>
      </c>
    </row>
    <row r="81" spans="1:12" ht="66" thickBot="1">
      <c r="A81" s="6">
        <v>80</v>
      </c>
      <c r="B81" s="7" t="s">
        <v>184</v>
      </c>
      <c r="C81" s="7">
        <v>408</v>
      </c>
      <c r="D81" s="7" t="s">
        <v>185</v>
      </c>
      <c r="E81" s="7" t="s">
        <v>38</v>
      </c>
      <c r="F81" s="8"/>
      <c r="G81" s="20" t="s">
        <v>185</v>
      </c>
      <c r="H81" s="20" t="s">
        <v>316</v>
      </c>
      <c r="I81" s="21"/>
      <c r="J81" t="str">
        <f t="shared" si="3"/>
        <v>ОК</v>
      </c>
      <c r="K81" t="str">
        <f t="shared" si="4"/>
        <v>Несоответствие</v>
      </c>
      <c r="L81" t="str">
        <f t="shared" si="5"/>
        <v>ОК</v>
      </c>
    </row>
    <row r="82" spans="1:12" ht="66" thickBot="1">
      <c r="A82" s="3">
        <v>81</v>
      </c>
      <c r="B82" s="4" t="s">
        <v>186</v>
      </c>
      <c r="C82" s="4">
        <v>408</v>
      </c>
      <c r="D82" s="4" t="s">
        <v>187</v>
      </c>
      <c r="E82" s="4" t="s">
        <v>188</v>
      </c>
      <c r="F82" s="5"/>
      <c r="G82" s="22" t="s">
        <v>187</v>
      </c>
      <c r="H82" s="22" t="s">
        <v>188</v>
      </c>
      <c r="I82" s="23"/>
      <c r="J82" t="str">
        <f t="shared" si="3"/>
        <v>ОК</v>
      </c>
      <c r="K82" t="str">
        <f t="shared" si="4"/>
        <v>ОК</v>
      </c>
      <c r="L82" t="str">
        <f t="shared" si="5"/>
        <v>ОК</v>
      </c>
    </row>
    <row r="83" spans="1:12" ht="79.150000000000006" thickBot="1">
      <c r="A83" s="6">
        <v>82</v>
      </c>
      <c r="B83" s="7" t="s">
        <v>189</v>
      </c>
      <c r="C83" s="7">
        <v>408</v>
      </c>
      <c r="D83" s="7" t="s">
        <v>190</v>
      </c>
      <c r="E83" s="7" t="s">
        <v>164</v>
      </c>
      <c r="F83" s="8"/>
      <c r="G83" s="20" t="s">
        <v>190</v>
      </c>
      <c r="H83" s="20" t="s">
        <v>164</v>
      </c>
      <c r="I83" s="21"/>
      <c r="J83" t="str">
        <f t="shared" si="3"/>
        <v>ОК</v>
      </c>
      <c r="K83" t="str">
        <f t="shared" si="4"/>
        <v>ОК</v>
      </c>
      <c r="L83" t="str">
        <f t="shared" si="5"/>
        <v>ОК</v>
      </c>
    </row>
    <row r="84" spans="1:12" ht="66" thickBot="1">
      <c r="A84" s="3">
        <v>83</v>
      </c>
      <c r="B84" s="4" t="s">
        <v>191</v>
      </c>
      <c r="C84" s="4">
        <v>408</v>
      </c>
      <c r="D84" s="4" t="s">
        <v>192</v>
      </c>
      <c r="E84" s="4" t="s">
        <v>100</v>
      </c>
      <c r="F84" s="5"/>
      <c r="G84" s="22" t="s">
        <v>192</v>
      </c>
      <c r="H84" s="22" t="s">
        <v>100</v>
      </c>
      <c r="I84" s="22"/>
      <c r="J84" t="str">
        <f t="shared" si="3"/>
        <v>ОК</v>
      </c>
      <c r="K84" t="str">
        <f t="shared" si="4"/>
        <v>ОК</v>
      </c>
      <c r="L84" t="str">
        <f t="shared" si="5"/>
        <v>ОК</v>
      </c>
    </row>
    <row r="85" spans="1:12" ht="66" thickBot="1">
      <c r="A85" s="6">
        <v>84</v>
      </c>
      <c r="B85" s="7" t="s">
        <v>193</v>
      </c>
      <c r="C85" s="7">
        <v>408</v>
      </c>
      <c r="D85" s="7" t="s">
        <v>194</v>
      </c>
      <c r="E85" s="7" t="s">
        <v>100</v>
      </c>
      <c r="F85" s="8"/>
      <c r="G85" s="20" t="s">
        <v>194</v>
      </c>
      <c r="H85" s="20" t="s">
        <v>100</v>
      </c>
      <c r="I85" s="21"/>
      <c r="J85" t="str">
        <f t="shared" si="3"/>
        <v>ОК</v>
      </c>
      <c r="K85" t="str">
        <f t="shared" si="4"/>
        <v>ОК</v>
      </c>
      <c r="L85" t="str">
        <f t="shared" si="5"/>
        <v>ОК</v>
      </c>
    </row>
    <row r="86" spans="1:12" ht="52.9" thickBot="1">
      <c r="A86" s="3">
        <v>85</v>
      </c>
      <c r="B86" s="4" t="s">
        <v>195</v>
      </c>
      <c r="C86" s="4">
        <v>408</v>
      </c>
      <c r="D86" s="4" t="s">
        <v>196</v>
      </c>
      <c r="E86" s="4" t="s">
        <v>41</v>
      </c>
      <c r="F86" s="5"/>
      <c r="G86" s="22" t="s">
        <v>196</v>
      </c>
      <c r="H86" s="22" t="s">
        <v>41</v>
      </c>
      <c r="I86" s="23"/>
      <c r="J86" t="str">
        <f t="shared" si="3"/>
        <v>ОК</v>
      </c>
      <c r="K86" t="str">
        <f t="shared" si="4"/>
        <v>ОК</v>
      </c>
      <c r="L86" t="str">
        <f t="shared" si="5"/>
        <v>ОК</v>
      </c>
    </row>
    <row r="87" spans="1:12" ht="66" thickBot="1">
      <c r="A87" s="6">
        <v>86</v>
      </c>
      <c r="B87" s="7" t="s">
        <v>197</v>
      </c>
      <c r="C87" s="7">
        <v>408</v>
      </c>
      <c r="D87" s="7" t="s">
        <v>198</v>
      </c>
      <c r="E87" s="7" t="s">
        <v>46</v>
      </c>
      <c r="F87" s="8"/>
      <c r="G87" s="20" t="s">
        <v>198</v>
      </c>
      <c r="H87" s="20" t="s">
        <v>46</v>
      </c>
      <c r="I87" s="21"/>
      <c r="J87" t="str">
        <f t="shared" si="3"/>
        <v>ОК</v>
      </c>
      <c r="K87" t="str">
        <f t="shared" si="4"/>
        <v>ОК</v>
      </c>
      <c r="L87" t="str">
        <f t="shared" si="5"/>
        <v>ОК</v>
      </c>
    </row>
    <row r="88" spans="1:12" ht="79.150000000000006" thickBot="1">
      <c r="A88" s="3">
        <v>87</v>
      </c>
      <c r="B88" s="4" t="s">
        <v>199</v>
      </c>
      <c r="C88" s="4">
        <v>408</v>
      </c>
      <c r="D88" s="4" t="s">
        <v>200</v>
      </c>
      <c r="E88" s="4" t="s">
        <v>201</v>
      </c>
      <c r="F88" s="5"/>
      <c r="G88" s="22" t="s">
        <v>200</v>
      </c>
      <c r="H88" s="22" t="s">
        <v>201</v>
      </c>
      <c r="I88" s="23"/>
      <c r="J88" t="str">
        <f t="shared" si="3"/>
        <v>ОК</v>
      </c>
      <c r="K88" t="str">
        <f t="shared" si="4"/>
        <v>ОК</v>
      </c>
      <c r="L88" t="str">
        <f t="shared" si="5"/>
        <v>ОК</v>
      </c>
    </row>
    <row r="89" spans="1:12" ht="52.9" thickBot="1">
      <c r="A89" s="6">
        <v>88</v>
      </c>
      <c r="B89" s="7" t="s">
        <v>202</v>
      </c>
      <c r="C89" s="7">
        <v>408</v>
      </c>
      <c r="D89" s="7" t="s">
        <v>203</v>
      </c>
      <c r="E89" s="7" t="s">
        <v>41</v>
      </c>
      <c r="F89" s="8"/>
      <c r="G89" s="20" t="s">
        <v>203</v>
      </c>
      <c r="H89" s="20" t="s">
        <v>41</v>
      </c>
      <c r="I89" s="21"/>
      <c r="J89" t="str">
        <f t="shared" si="3"/>
        <v>ОК</v>
      </c>
      <c r="K89" t="str">
        <f t="shared" si="4"/>
        <v>ОК</v>
      </c>
      <c r="L89" t="str">
        <f t="shared" si="5"/>
        <v>ОК</v>
      </c>
    </row>
    <row r="90" spans="1:12" ht="52.9" thickBot="1">
      <c r="A90" s="3">
        <v>89</v>
      </c>
      <c r="B90" s="4" t="s">
        <v>204</v>
      </c>
      <c r="C90" s="4">
        <v>408</v>
      </c>
      <c r="D90" s="4" t="s">
        <v>205</v>
      </c>
      <c r="E90" s="4" t="s">
        <v>41</v>
      </c>
      <c r="F90" s="5"/>
      <c r="G90" s="22" t="s">
        <v>205</v>
      </c>
      <c r="H90" s="22" t="s">
        <v>41</v>
      </c>
      <c r="I90" s="22"/>
      <c r="J90" t="str">
        <f t="shared" si="3"/>
        <v>ОК</v>
      </c>
      <c r="K90" t="str">
        <f t="shared" si="4"/>
        <v>ОК</v>
      </c>
      <c r="L90" t="str">
        <f t="shared" si="5"/>
        <v>ОК</v>
      </c>
    </row>
    <row r="91" spans="1:12" ht="52.9" thickBot="1">
      <c r="A91" s="6">
        <v>90</v>
      </c>
      <c r="B91" s="7" t="s">
        <v>206</v>
      </c>
      <c r="C91" s="7">
        <v>408</v>
      </c>
      <c r="D91" s="7" t="s">
        <v>207</v>
      </c>
      <c r="E91" s="7" t="s">
        <v>208</v>
      </c>
      <c r="F91" s="8"/>
      <c r="G91" s="20" t="s">
        <v>207</v>
      </c>
      <c r="H91" s="20" t="s">
        <v>208</v>
      </c>
      <c r="I91" s="20"/>
      <c r="J91" t="str">
        <f t="shared" si="3"/>
        <v>ОК</v>
      </c>
      <c r="K91" t="str">
        <f t="shared" si="4"/>
        <v>ОК</v>
      </c>
      <c r="L91" t="str">
        <f t="shared" si="5"/>
        <v>ОК</v>
      </c>
    </row>
    <row r="92" spans="1:12" ht="153.75">
      <c r="A92" s="26">
        <v>91</v>
      </c>
      <c r="B92" s="26" t="s">
        <v>209</v>
      </c>
      <c r="C92" s="26">
        <v>408</v>
      </c>
      <c r="D92" s="9" t="s">
        <v>327</v>
      </c>
      <c r="E92" s="26" t="s">
        <v>26</v>
      </c>
      <c r="F92" s="27"/>
      <c r="G92" s="9" t="s">
        <v>327</v>
      </c>
      <c r="H92" s="20" t="s">
        <v>26</v>
      </c>
      <c r="J92" t="str">
        <f t="shared" si="3"/>
        <v>ОК</v>
      </c>
      <c r="K92" t="str">
        <f t="shared" si="4"/>
        <v>ОК</v>
      </c>
      <c r="L92" t="str">
        <f t="shared" si="5"/>
        <v>ОК</v>
      </c>
    </row>
    <row r="93" spans="1:12" ht="66" thickBot="1">
      <c r="A93" s="6">
        <v>92</v>
      </c>
      <c r="B93" s="7" t="s">
        <v>210</v>
      </c>
      <c r="C93" s="7">
        <v>408</v>
      </c>
      <c r="D93" s="7" t="s">
        <v>211</v>
      </c>
      <c r="E93" s="7" t="s">
        <v>100</v>
      </c>
      <c r="F93" s="8"/>
      <c r="G93" s="22" t="s">
        <v>211</v>
      </c>
      <c r="H93" s="22" t="s">
        <v>100</v>
      </c>
      <c r="I93" s="23"/>
      <c r="J93" t="str">
        <f t="shared" si="3"/>
        <v>ОК</v>
      </c>
      <c r="K93" t="str">
        <f t="shared" si="4"/>
        <v>ОК</v>
      </c>
      <c r="L93" t="str">
        <f t="shared" si="5"/>
        <v>ОК</v>
      </c>
    </row>
    <row r="94" spans="1:12" ht="66" thickBot="1">
      <c r="A94" s="3">
        <v>93</v>
      </c>
      <c r="B94" s="4" t="s">
        <v>212</v>
      </c>
      <c r="C94" s="4">
        <v>408</v>
      </c>
      <c r="D94" s="4" t="s">
        <v>213</v>
      </c>
      <c r="E94" s="4" t="s">
        <v>41</v>
      </c>
      <c r="F94" s="5"/>
      <c r="G94" s="20" t="s">
        <v>213</v>
      </c>
      <c r="H94" s="20" t="s">
        <v>41</v>
      </c>
      <c r="I94" s="20"/>
      <c r="J94" t="str">
        <f t="shared" si="3"/>
        <v>ОК</v>
      </c>
      <c r="K94" t="str">
        <f t="shared" si="4"/>
        <v>ОК</v>
      </c>
      <c r="L94" t="str">
        <f t="shared" si="5"/>
        <v>ОК</v>
      </c>
    </row>
    <row r="95" spans="1:12" ht="66" thickBot="1">
      <c r="A95" s="6">
        <v>94</v>
      </c>
      <c r="B95" s="7" t="s">
        <v>214</v>
      </c>
      <c r="C95" s="7">
        <v>408</v>
      </c>
      <c r="D95" s="7" t="s">
        <v>215</v>
      </c>
      <c r="E95" s="7" t="s">
        <v>146</v>
      </c>
      <c r="F95" s="8"/>
      <c r="G95" s="22" t="s">
        <v>215</v>
      </c>
      <c r="H95" s="22" t="s">
        <v>146</v>
      </c>
      <c r="I95" s="23"/>
      <c r="J95" t="str">
        <f t="shared" si="3"/>
        <v>ОК</v>
      </c>
      <c r="K95" t="str">
        <f t="shared" si="4"/>
        <v>ОК</v>
      </c>
      <c r="L95" t="str">
        <f t="shared" si="5"/>
        <v>ОК</v>
      </c>
    </row>
    <row r="96" spans="1:12" ht="52.9" thickBot="1">
      <c r="A96" s="3">
        <v>95</v>
      </c>
      <c r="B96" s="4" t="s">
        <v>216</v>
      </c>
      <c r="C96" s="4">
        <v>408</v>
      </c>
      <c r="D96" s="4" t="s">
        <v>217</v>
      </c>
      <c r="E96" s="4" t="s">
        <v>16</v>
      </c>
      <c r="F96" s="5"/>
      <c r="G96" s="20" t="s">
        <v>217</v>
      </c>
      <c r="H96" s="20" t="s">
        <v>16</v>
      </c>
      <c r="I96" s="21"/>
      <c r="J96" t="str">
        <f t="shared" si="3"/>
        <v>ОК</v>
      </c>
      <c r="K96" t="str">
        <f t="shared" si="4"/>
        <v>ОК</v>
      </c>
      <c r="L96" t="str">
        <f t="shared" si="5"/>
        <v>ОК</v>
      </c>
    </row>
    <row r="97" spans="1:12" ht="52.9" thickBot="1">
      <c r="A97" s="6">
        <v>96</v>
      </c>
      <c r="B97" s="7" t="s">
        <v>218</v>
      </c>
      <c r="C97" s="7">
        <v>410</v>
      </c>
      <c r="D97" s="7" t="s">
        <v>219</v>
      </c>
      <c r="E97" s="7" t="s">
        <v>8</v>
      </c>
      <c r="F97" s="8"/>
      <c r="G97" s="22" t="s">
        <v>219</v>
      </c>
      <c r="H97" s="22" t="s">
        <v>8</v>
      </c>
      <c r="I97" s="22"/>
      <c r="J97" t="str">
        <f t="shared" si="3"/>
        <v>ОК</v>
      </c>
      <c r="K97" t="str">
        <f t="shared" si="4"/>
        <v>ОК</v>
      </c>
      <c r="L97" t="str">
        <f t="shared" si="5"/>
        <v>ОК</v>
      </c>
    </row>
    <row r="98" spans="1:12" ht="52.5">
      <c r="A98" s="26">
        <v>97</v>
      </c>
      <c r="B98" s="20" t="s">
        <v>317</v>
      </c>
      <c r="C98" s="26">
        <v>410</v>
      </c>
      <c r="D98" s="26" t="s">
        <v>220</v>
      </c>
      <c r="E98" s="26" t="s">
        <v>221</v>
      </c>
      <c r="F98" s="27"/>
      <c r="G98" s="20" t="s">
        <v>220</v>
      </c>
      <c r="H98" s="20" t="s">
        <v>221</v>
      </c>
      <c r="I98" s="21"/>
      <c r="J98" t="str">
        <f t="shared" si="3"/>
        <v>ОК</v>
      </c>
      <c r="K98" t="str">
        <f t="shared" si="4"/>
        <v>ОК</v>
      </c>
      <c r="L98" t="str">
        <f t="shared" si="5"/>
        <v>ОК</v>
      </c>
    </row>
    <row r="99" spans="1:12" ht="79.150000000000006" thickBot="1">
      <c r="A99" s="6">
        <v>98</v>
      </c>
      <c r="B99" s="7" t="s">
        <v>222</v>
      </c>
      <c r="C99" s="7">
        <v>410</v>
      </c>
      <c r="D99" s="7" t="s">
        <v>223</v>
      </c>
      <c r="E99" s="7" t="s">
        <v>224</v>
      </c>
      <c r="F99" s="8"/>
      <c r="G99" s="22" t="s">
        <v>223</v>
      </c>
      <c r="H99" s="22" t="s">
        <v>224</v>
      </c>
      <c r="I99" s="23"/>
      <c r="J99" t="str">
        <f t="shared" si="3"/>
        <v>ОК</v>
      </c>
      <c r="K99" t="str">
        <f t="shared" si="4"/>
        <v>ОК</v>
      </c>
      <c r="L99" t="str">
        <f t="shared" si="5"/>
        <v>ОК</v>
      </c>
    </row>
    <row r="100" spans="1:12" ht="66" thickBot="1">
      <c r="A100" s="3">
        <v>99</v>
      </c>
      <c r="B100" s="4" t="s">
        <v>225</v>
      </c>
      <c r="C100" s="4">
        <v>410</v>
      </c>
      <c r="D100" s="4" t="s">
        <v>226</v>
      </c>
      <c r="E100" s="4" t="s">
        <v>121</v>
      </c>
      <c r="F100" s="5"/>
      <c r="G100" s="20" t="s">
        <v>226</v>
      </c>
      <c r="H100" s="20" t="s">
        <v>121</v>
      </c>
      <c r="I100" s="21"/>
      <c r="J100" t="str">
        <f t="shared" si="3"/>
        <v>ОК</v>
      </c>
      <c r="K100" t="str">
        <f t="shared" si="4"/>
        <v>ОК</v>
      </c>
      <c r="L100" t="str">
        <f t="shared" si="5"/>
        <v>ОК</v>
      </c>
    </row>
    <row r="101" spans="1:12" ht="52.9" thickBot="1">
      <c r="A101" s="6">
        <v>100</v>
      </c>
      <c r="B101" s="7" t="s">
        <v>227</v>
      </c>
      <c r="C101" s="7">
        <v>410</v>
      </c>
      <c r="D101" s="7" t="s">
        <v>228</v>
      </c>
      <c r="E101" s="7" t="s">
        <v>11</v>
      </c>
      <c r="F101" s="8"/>
      <c r="G101" s="22" t="s">
        <v>228</v>
      </c>
      <c r="H101" s="22" t="s">
        <v>11</v>
      </c>
      <c r="I101" s="23"/>
      <c r="J101" t="str">
        <f t="shared" si="3"/>
        <v>ОК</v>
      </c>
      <c r="K101" t="str">
        <f t="shared" si="4"/>
        <v>ОК</v>
      </c>
      <c r="L101" t="str">
        <f t="shared" si="5"/>
        <v>ОК</v>
      </c>
    </row>
    <row r="102" spans="1:12" ht="79.150000000000006" thickBot="1">
      <c r="A102" s="3">
        <v>101</v>
      </c>
      <c r="B102" s="4" t="s">
        <v>229</v>
      </c>
      <c r="C102" s="4">
        <v>410</v>
      </c>
      <c r="D102" s="4" t="s">
        <v>230</v>
      </c>
      <c r="E102" s="4" t="s">
        <v>38</v>
      </c>
      <c r="F102" s="5"/>
      <c r="G102" s="20" t="s">
        <v>230</v>
      </c>
      <c r="H102" s="20" t="s">
        <v>38</v>
      </c>
      <c r="I102" s="21"/>
      <c r="J102" t="str">
        <f t="shared" si="3"/>
        <v>ОК</v>
      </c>
      <c r="K102" t="str">
        <f t="shared" si="4"/>
        <v>ОК</v>
      </c>
      <c r="L102" t="str">
        <f t="shared" si="5"/>
        <v>ОК</v>
      </c>
    </row>
    <row r="103" spans="1:12" ht="66" thickBot="1">
      <c r="A103" s="6">
        <v>102</v>
      </c>
      <c r="B103" s="7" t="s">
        <v>231</v>
      </c>
      <c r="C103" s="7">
        <v>410</v>
      </c>
      <c r="D103" s="7" t="s">
        <v>232</v>
      </c>
      <c r="E103" s="7" t="s">
        <v>233</v>
      </c>
      <c r="F103" s="8"/>
      <c r="G103" s="22" t="s">
        <v>232</v>
      </c>
      <c r="H103" s="22" t="s">
        <v>233</v>
      </c>
      <c r="I103" s="23"/>
      <c r="J103" t="str">
        <f t="shared" si="3"/>
        <v>ОК</v>
      </c>
      <c r="K103" t="str">
        <f t="shared" si="4"/>
        <v>ОК</v>
      </c>
      <c r="L103" t="str">
        <f t="shared" si="5"/>
        <v>ОК</v>
      </c>
    </row>
    <row r="104" spans="1:12" ht="65.650000000000006">
      <c r="A104" s="26">
        <v>103</v>
      </c>
      <c r="B104" s="26" t="s">
        <v>234</v>
      </c>
      <c r="C104" s="26">
        <v>410</v>
      </c>
      <c r="D104" s="20" t="s">
        <v>318</v>
      </c>
      <c r="E104" s="26" t="s">
        <v>177</v>
      </c>
      <c r="F104" s="26" t="s">
        <v>8</v>
      </c>
      <c r="G104" s="20" t="s">
        <v>318</v>
      </c>
      <c r="H104" s="20" t="s">
        <v>177</v>
      </c>
      <c r="I104" s="20" t="s">
        <v>8</v>
      </c>
      <c r="J104" t="str">
        <f t="shared" si="3"/>
        <v>ОК</v>
      </c>
      <c r="K104" t="str">
        <f t="shared" si="4"/>
        <v>ОК</v>
      </c>
      <c r="L104" t="str">
        <f t="shared" si="5"/>
        <v>ОК</v>
      </c>
    </row>
    <row r="105" spans="1:12" ht="52.9" thickBot="1">
      <c r="A105" s="6">
        <v>104</v>
      </c>
      <c r="B105" s="7" t="s">
        <v>235</v>
      </c>
      <c r="C105" s="7">
        <v>410</v>
      </c>
      <c r="D105" s="7" t="s">
        <v>236</v>
      </c>
      <c r="E105" s="7" t="s">
        <v>59</v>
      </c>
      <c r="F105" s="8"/>
      <c r="G105" s="22" t="s">
        <v>236</v>
      </c>
      <c r="H105" s="22" t="s">
        <v>59</v>
      </c>
      <c r="I105" s="23"/>
      <c r="J105" t="str">
        <f t="shared" si="3"/>
        <v>ОК</v>
      </c>
      <c r="K105" t="str">
        <f t="shared" si="4"/>
        <v>ОК</v>
      </c>
      <c r="L105" t="str">
        <f t="shared" si="5"/>
        <v>ОК</v>
      </c>
    </row>
    <row r="106" spans="1:12" ht="52.5">
      <c r="A106" s="26">
        <v>105</v>
      </c>
      <c r="B106" s="26" t="s">
        <v>237</v>
      </c>
      <c r="C106" s="26">
        <v>410</v>
      </c>
      <c r="D106" s="20" t="s">
        <v>319</v>
      </c>
      <c r="E106" s="26" t="s">
        <v>41</v>
      </c>
      <c r="F106" s="27"/>
      <c r="G106" s="20" t="s">
        <v>319</v>
      </c>
      <c r="H106" s="20" t="s">
        <v>41</v>
      </c>
      <c r="I106" s="20"/>
      <c r="J106" t="str">
        <f t="shared" si="3"/>
        <v>ОК</v>
      </c>
      <c r="K106" t="str">
        <f t="shared" si="4"/>
        <v>ОК</v>
      </c>
      <c r="L106" t="str">
        <f t="shared" si="5"/>
        <v>ОК</v>
      </c>
    </row>
    <row r="107" spans="1:12" ht="79.150000000000006" thickBot="1">
      <c r="A107" s="6">
        <v>106</v>
      </c>
      <c r="B107" s="7" t="s">
        <v>238</v>
      </c>
      <c r="C107" s="7">
        <v>410</v>
      </c>
      <c r="D107" s="7" t="s">
        <v>239</v>
      </c>
      <c r="E107" s="7" t="s">
        <v>29</v>
      </c>
      <c r="F107" s="7" t="s">
        <v>30</v>
      </c>
      <c r="G107" s="22" t="s">
        <v>239</v>
      </c>
      <c r="H107" s="22" t="s">
        <v>29</v>
      </c>
      <c r="I107" s="22" t="s">
        <v>30</v>
      </c>
      <c r="J107" t="str">
        <f t="shared" si="3"/>
        <v>ОК</v>
      </c>
      <c r="K107" t="str">
        <f t="shared" si="4"/>
        <v>ОК</v>
      </c>
      <c r="L107" t="str">
        <f t="shared" si="5"/>
        <v>ОК</v>
      </c>
    </row>
    <row r="108" spans="1:12" ht="52.9" thickBot="1">
      <c r="A108" s="3">
        <v>107</v>
      </c>
      <c r="B108" s="4" t="s">
        <v>240</v>
      </c>
      <c r="C108" s="4">
        <v>410</v>
      </c>
      <c r="D108" s="4" t="s">
        <v>241</v>
      </c>
      <c r="E108" s="4" t="s">
        <v>8</v>
      </c>
      <c r="F108" s="5"/>
      <c r="G108" s="20" t="s">
        <v>241</v>
      </c>
      <c r="H108" s="20" t="s">
        <v>8</v>
      </c>
      <c r="I108" s="21"/>
      <c r="J108" t="str">
        <f t="shared" si="3"/>
        <v>ОК</v>
      </c>
      <c r="K108" t="str">
        <f t="shared" si="4"/>
        <v>ОК</v>
      </c>
      <c r="L108" t="str">
        <f t="shared" si="5"/>
        <v>ОК</v>
      </c>
    </row>
    <row r="109" spans="1:12" ht="66" thickBot="1">
      <c r="A109" s="6">
        <v>108</v>
      </c>
      <c r="B109" s="7" t="s">
        <v>242</v>
      </c>
      <c r="C109" s="7">
        <v>410</v>
      </c>
      <c r="D109" s="7" t="s">
        <v>243</v>
      </c>
      <c r="E109" s="7" t="s">
        <v>89</v>
      </c>
      <c r="F109" s="7" t="s">
        <v>121</v>
      </c>
      <c r="G109" s="22" t="s">
        <v>243</v>
      </c>
      <c r="H109" s="22" t="s">
        <v>89</v>
      </c>
      <c r="I109" s="22" t="s">
        <v>121</v>
      </c>
      <c r="J109" t="str">
        <f t="shared" si="3"/>
        <v>ОК</v>
      </c>
      <c r="K109" t="str">
        <f t="shared" si="4"/>
        <v>ОК</v>
      </c>
      <c r="L109" t="str">
        <f t="shared" si="5"/>
        <v>ОК</v>
      </c>
    </row>
    <row r="110" spans="1:12" ht="79.150000000000006" thickBot="1">
      <c r="A110" s="3">
        <v>109</v>
      </c>
      <c r="B110" s="4" t="s">
        <v>244</v>
      </c>
      <c r="C110" s="4">
        <v>410</v>
      </c>
      <c r="D110" s="4" t="s">
        <v>245</v>
      </c>
      <c r="E110" s="4" t="s">
        <v>41</v>
      </c>
      <c r="F110" s="4" t="s">
        <v>143</v>
      </c>
      <c r="G110" s="20" t="s">
        <v>245</v>
      </c>
      <c r="H110" s="20" t="s">
        <v>41</v>
      </c>
      <c r="I110" s="20" t="s">
        <v>143</v>
      </c>
      <c r="J110" t="str">
        <f t="shared" si="3"/>
        <v>ОК</v>
      </c>
      <c r="K110" t="str">
        <f t="shared" si="4"/>
        <v>ОК</v>
      </c>
      <c r="L110" t="str">
        <f t="shared" si="5"/>
        <v>ОК</v>
      </c>
    </row>
    <row r="111" spans="1:12" ht="108" thickBot="1">
      <c r="A111" s="6">
        <v>110</v>
      </c>
      <c r="B111" s="7" t="s">
        <v>246</v>
      </c>
      <c r="C111" s="7">
        <v>410</v>
      </c>
      <c r="D111" s="7" t="s">
        <v>247</v>
      </c>
      <c r="E111" s="7" t="s">
        <v>38</v>
      </c>
      <c r="F111" s="10" t="s">
        <v>248</v>
      </c>
      <c r="G111" s="22" t="s">
        <v>247</v>
      </c>
      <c r="H111" s="22" t="s">
        <v>38</v>
      </c>
      <c r="I111" s="10" t="s">
        <v>248</v>
      </c>
      <c r="J111" t="str">
        <f t="shared" si="3"/>
        <v>ОК</v>
      </c>
      <c r="K111" t="str">
        <f t="shared" si="4"/>
        <v>ОК</v>
      </c>
      <c r="L111" t="str">
        <f t="shared" si="5"/>
        <v>ОК</v>
      </c>
    </row>
    <row r="112" spans="1:12" ht="52.9" thickBot="1">
      <c r="A112" s="3">
        <v>111</v>
      </c>
      <c r="B112" s="4" t="s">
        <v>249</v>
      </c>
      <c r="C112" s="4">
        <v>410</v>
      </c>
      <c r="D112" s="4" t="s">
        <v>250</v>
      </c>
      <c r="E112" s="4" t="s">
        <v>251</v>
      </c>
      <c r="F112" s="5"/>
      <c r="G112" s="20" t="s">
        <v>250</v>
      </c>
      <c r="H112" s="20" t="s">
        <v>251</v>
      </c>
      <c r="I112" s="21"/>
      <c r="J112" t="str">
        <f t="shared" si="3"/>
        <v>ОК</v>
      </c>
      <c r="K112" t="str">
        <f t="shared" si="4"/>
        <v>ОК</v>
      </c>
      <c r="L112" t="str">
        <f t="shared" si="5"/>
        <v>ОК</v>
      </c>
    </row>
    <row r="113" spans="1:12" ht="66" thickBot="1">
      <c r="A113" s="6">
        <v>112</v>
      </c>
      <c r="B113" s="7" t="s">
        <v>252</v>
      </c>
      <c r="C113" s="7">
        <v>410</v>
      </c>
      <c r="D113" s="7" t="s">
        <v>253</v>
      </c>
      <c r="E113" s="7" t="s">
        <v>26</v>
      </c>
      <c r="F113" s="8"/>
      <c r="G113" s="22" t="s">
        <v>320</v>
      </c>
      <c r="H113" s="22" t="s">
        <v>26</v>
      </c>
      <c r="I113" s="23"/>
      <c r="J113" t="str">
        <f t="shared" si="3"/>
        <v>Несоответствие</v>
      </c>
      <c r="K113" t="str">
        <f t="shared" si="4"/>
        <v>ОК</v>
      </c>
      <c r="L113" t="str">
        <f t="shared" si="5"/>
        <v>ОК</v>
      </c>
    </row>
    <row r="114" spans="1:12" ht="52.9" thickBot="1">
      <c r="A114" s="3">
        <v>113</v>
      </c>
      <c r="B114" s="4" t="s">
        <v>254</v>
      </c>
      <c r="C114" s="4">
        <v>410</v>
      </c>
      <c r="D114" s="4" t="s">
        <v>255</v>
      </c>
      <c r="E114" s="4" t="s">
        <v>8</v>
      </c>
      <c r="F114" s="5"/>
      <c r="G114" s="20" t="s">
        <v>255</v>
      </c>
      <c r="H114" s="20" t="s">
        <v>8</v>
      </c>
      <c r="I114" s="20"/>
      <c r="J114" t="str">
        <f t="shared" si="3"/>
        <v>ОК</v>
      </c>
      <c r="K114" t="str">
        <f t="shared" si="4"/>
        <v>ОК</v>
      </c>
      <c r="L114" t="str">
        <f t="shared" si="5"/>
        <v>ОК</v>
      </c>
    </row>
    <row r="115" spans="1:12" ht="118.5" thickBot="1">
      <c r="A115" s="6">
        <v>114</v>
      </c>
      <c r="B115" s="7" t="s">
        <v>256</v>
      </c>
      <c r="C115" s="7">
        <v>410</v>
      </c>
      <c r="D115" s="7" t="s">
        <v>257</v>
      </c>
      <c r="E115" s="7" t="s">
        <v>258</v>
      </c>
      <c r="F115" s="8"/>
      <c r="G115" s="22" t="s">
        <v>257</v>
      </c>
      <c r="H115" s="22" t="s">
        <v>258</v>
      </c>
      <c r="I115" s="23"/>
      <c r="J115" t="str">
        <f t="shared" si="3"/>
        <v>ОК</v>
      </c>
      <c r="K115" t="str">
        <f t="shared" si="4"/>
        <v>ОК</v>
      </c>
      <c r="L115" t="str">
        <f t="shared" si="5"/>
        <v>ОК</v>
      </c>
    </row>
    <row r="116" spans="1:12" ht="52.9" thickBot="1">
      <c r="A116" s="3">
        <v>115</v>
      </c>
      <c r="B116" s="4" t="s">
        <v>259</v>
      </c>
      <c r="C116" s="4">
        <v>410</v>
      </c>
      <c r="D116" s="4" t="s">
        <v>260</v>
      </c>
      <c r="E116" s="4" t="s">
        <v>11</v>
      </c>
      <c r="F116" s="5"/>
      <c r="G116" s="20" t="s">
        <v>260</v>
      </c>
      <c r="H116" s="20" t="s">
        <v>11</v>
      </c>
      <c r="I116" s="21"/>
      <c r="J116" t="str">
        <f t="shared" si="3"/>
        <v>ОК</v>
      </c>
      <c r="K116" t="str">
        <f t="shared" si="4"/>
        <v>ОК</v>
      </c>
      <c r="L116" t="str">
        <f t="shared" si="5"/>
        <v>ОК</v>
      </c>
    </row>
    <row r="117" spans="1:12" ht="79.150000000000006" thickBot="1">
      <c r="A117" s="6">
        <v>116</v>
      </c>
      <c r="B117" s="7" t="s">
        <v>261</v>
      </c>
      <c r="C117" s="7">
        <v>410</v>
      </c>
      <c r="D117" s="7" t="s">
        <v>262</v>
      </c>
      <c r="E117" s="7" t="s">
        <v>137</v>
      </c>
      <c r="F117" s="8"/>
      <c r="G117" s="22" t="s">
        <v>262</v>
      </c>
      <c r="H117" s="22" t="s">
        <v>137</v>
      </c>
      <c r="I117" s="23"/>
      <c r="J117" t="str">
        <f t="shared" si="3"/>
        <v>ОК</v>
      </c>
      <c r="K117" t="str">
        <f t="shared" si="4"/>
        <v>ОК</v>
      </c>
      <c r="L117" t="str">
        <f t="shared" si="5"/>
        <v>ОК</v>
      </c>
    </row>
    <row r="118" spans="1:12" ht="78.75">
      <c r="A118" s="26">
        <v>117</v>
      </c>
      <c r="B118" s="26" t="s">
        <v>263</v>
      </c>
      <c r="C118" s="26">
        <v>410</v>
      </c>
      <c r="D118" s="20" t="s">
        <v>321</v>
      </c>
      <c r="E118" s="26" t="s">
        <v>16</v>
      </c>
      <c r="F118" s="27"/>
      <c r="G118" s="20" t="s">
        <v>321</v>
      </c>
      <c r="H118" s="20" t="s">
        <v>16</v>
      </c>
      <c r="I118" s="21"/>
      <c r="J118" t="str">
        <f t="shared" si="3"/>
        <v>ОК</v>
      </c>
      <c r="K118" t="str">
        <f t="shared" si="4"/>
        <v>ОК</v>
      </c>
      <c r="L118" t="str">
        <f t="shared" si="5"/>
        <v>ОК</v>
      </c>
    </row>
    <row r="119" spans="1:12" ht="66" thickBot="1">
      <c r="A119" s="6">
        <v>118</v>
      </c>
      <c r="B119" s="7" t="s">
        <v>264</v>
      </c>
      <c r="C119" s="7">
        <v>411</v>
      </c>
      <c r="D119" s="7" t="s">
        <v>265</v>
      </c>
      <c r="E119" s="7" t="s">
        <v>266</v>
      </c>
      <c r="F119" s="8"/>
      <c r="G119" s="22" t="s">
        <v>265</v>
      </c>
      <c r="H119" s="22" t="s">
        <v>266</v>
      </c>
      <c r="I119" s="23"/>
      <c r="J119" t="str">
        <f t="shared" si="3"/>
        <v>ОК</v>
      </c>
      <c r="K119" t="str">
        <f t="shared" si="4"/>
        <v>ОК</v>
      </c>
      <c r="L119" t="str">
        <f t="shared" si="5"/>
        <v>ОК</v>
      </c>
    </row>
    <row r="120" spans="1:12" ht="66" thickBot="1">
      <c r="A120" s="3">
        <v>119</v>
      </c>
      <c r="B120" s="4" t="s">
        <v>267</v>
      </c>
      <c r="C120" s="4">
        <v>411</v>
      </c>
      <c r="D120" s="4" t="s">
        <v>268</v>
      </c>
      <c r="E120" s="4" t="s">
        <v>224</v>
      </c>
      <c r="F120" s="5"/>
      <c r="G120" s="20" t="s">
        <v>268</v>
      </c>
      <c r="H120" s="20" t="s">
        <v>224</v>
      </c>
      <c r="I120" s="21"/>
      <c r="J120" t="str">
        <f t="shared" si="3"/>
        <v>ОК</v>
      </c>
      <c r="K120" t="str">
        <f t="shared" si="4"/>
        <v>ОК</v>
      </c>
      <c r="L120" t="str">
        <f t="shared" si="5"/>
        <v>ОК</v>
      </c>
    </row>
    <row r="121" spans="1:12" ht="92.25" thickBot="1">
      <c r="A121" s="6">
        <v>120</v>
      </c>
      <c r="B121" s="7" t="s">
        <v>269</v>
      </c>
      <c r="C121" s="7">
        <v>411</v>
      </c>
      <c r="D121" s="7" t="s">
        <v>270</v>
      </c>
      <c r="E121" s="7" t="s">
        <v>271</v>
      </c>
      <c r="F121" s="8"/>
      <c r="G121" s="22" t="s">
        <v>270</v>
      </c>
      <c r="H121" s="22" t="s">
        <v>271</v>
      </c>
      <c r="I121" s="23"/>
      <c r="J121" t="str">
        <f t="shared" si="3"/>
        <v>ОК</v>
      </c>
      <c r="K121" t="str">
        <f t="shared" si="4"/>
        <v>ОК</v>
      </c>
      <c r="L121" t="str">
        <f t="shared" si="5"/>
        <v>ОК</v>
      </c>
    </row>
    <row r="122" spans="1:12" ht="78.75">
      <c r="A122" s="26">
        <v>121</v>
      </c>
      <c r="B122" s="26" t="s">
        <v>272</v>
      </c>
      <c r="C122" s="26">
        <v>411</v>
      </c>
      <c r="D122" s="20" t="s">
        <v>322</v>
      </c>
      <c r="E122" s="26" t="s">
        <v>266</v>
      </c>
      <c r="F122" s="26" t="s">
        <v>143</v>
      </c>
      <c r="G122" s="20" t="s">
        <v>322</v>
      </c>
      <c r="H122" s="20" t="s">
        <v>266</v>
      </c>
      <c r="I122" s="20" t="s">
        <v>143</v>
      </c>
      <c r="J122" t="str">
        <f t="shared" si="3"/>
        <v>ОК</v>
      </c>
      <c r="K122" t="str">
        <f t="shared" si="4"/>
        <v>ОК</v>
      </c>
      <c r="L122" t="str">
        <f t="shared" si="5"/>
        <v>ОК</v>
      </c>
    </row>
    <row r="123" spans="1:12" ht="66" thickBot="1">
      <c r="A123" s="6">
        <v>122</v>
      </c>
      <c r="B123" s="7" t="s">
        <v>273</v>
      </c>
      <c r="C123" s="7">
        <v>411</v>
      </c>
      <c r="D123" s="7" t="s">
        <v>274</v>
      </c>
      <c r="E123" s="7" t="s">
        <v>271</v>
      </c>
      <c r="F123" s="8"/>
      <c r="G123" s="22" t="s">
        <v>274</v>
      </c>
      <c r="H123" s="22" t="s">
        <v>271</v>
      </c>
      <c r="I123" s="23"/>
      <c r="J123" t="str">
        <f t="shared" si="3"/>
        <v>ОК</v>
      </c>
      <c r="K123" t="str">
        <f t="shared" si="4"/>
        <v>ОК</v>
      </c>
      <c r="L123" t="str">
        <f t="shared" si="5"/>
        <v>ОК</v>
      </c>
    </row>
    <row r="124" spans="1:12" ht="78.75">
      <c r="A124" s="26">
        <v>123</v>
      </c>
      <c r="B124" s="26" t="s">
        <v>275</v>
      </c>
      <c r="C124" s="26">
        <v>411</v>
      </c>
      <c r="D124" s="20" t="s">
        <v>323</v>
      </c>
      <c r="E124" s="26" t="s">
        <v>224</v>
      </c>
      <c r="F124" s="27"/>
      <c r="G124" s="20" t="s">
        <v>323</v>
      </c>
      <c r="H124" s="20" t="s">
        <v>224</v>
      </c>
      <c r="I124" s="21"/>
      <c r="J124" t="str">
        <f t="shared" si="3"/>
        <v>ОК</v>
      </c>
      <c r="K124" t="str">
        <f t="shared" si="4"/>
        <v>ОК</v>
      </c>
      <c r="L124" t="str">
        <f t="shared" si="5"/>
        <v>ОК</v>
      </c>
    </row>
    <row r="125" spans="1:12" ht="66" thickBot="1">
      <c r="A125" s="6">
        <v>124</v>
      </c>
      <c r="B125" s="7" t="s">
        <v>276</v>
      </c>
      <c r="C125" s="7">
        <v>411</v>
      </c>
      <c r="D125" s="7" t="s">
        <v>277</v>
      </c>
      <c r="E125" s="7" t="s">
        <v>46</v>
      </c>
      <c r="F125" s="8"/>
      <c r="G125" s="22" t="s">
        <v>277</v>
      </c>
      <c r="H125" s="22" t="s">
        <v>46</v>
      </c>
      <c r="I125" s="23"/>
      <c r="J125" t="str">
        <f t="shared" si="3"/>
        <v>ОК</v>
      </c>
      <c r="K125" t="str">
        <f t="shared" si="4"/>
        <v>ОК</v>
      </c>
      <c r="L125" t="str">
        <f t="shared" si="5"/>
        <v>ОК</v>
      </c>
    </row>
    <row r="126" spans="1:12" ht="66" thickBot="1">
      <c r="A126" s="3">
        <v>125</v>
      </c>
      <c r="B126" s="4" t="s">
        <v>278</v>
      </c>
      <c r="C126" s="4">
        <v>411</v>
      </c>
      <c r="D126" s="4" t="s">
        <v>279</v>
      </c>
      <c r="E126" s="4" t="s">
        <v>266</v>
      </c>
      <c r="F126" s="5"/>
      <c r="G126" s="20" t="s">
        <v>279</v>
      </c>
      <c r="H126" s="20" t="s">
        <v>266</v>
      </c>
      <c r="I126" s="21"/>
      <c r="J126" t="str">
        <f t="shared" si="3"/>
        <v>ОК</v>
      </c>
      <c r="K126" t="str">
        <f t="shared" si="4"/>
        <v>ОК</v>
      </c>
      <c r="L126" t="str">
        <f t="shared" si="5"/>
        <v>ОК</v>
      </c>
    </row>
    <row r="127" spans="1:12" ht="79.150000000000006" thickBot="1">
      <c r="A127" s="6">
        <v>126</v>
      </c>
      <c r="B127" s="7" t="s">
        <v>280</v>
      </c>
      <c r="C127" s="7">
        <v>411</v>
      </c>
      <c r="D127" s="7" t="s">
        <v>281</v>
      </c>
      <c r="E127" s="7" t="s">
        <v>266</v>
      </c>
      <c r="F127" s="7" t="s">
        <v>143</v>
      </c>
      <c r="G127" s="22" t="s">
        <v>281</v>
      </c>
      <c r="H127" s="22" t="s">
        <v>266</v>
      </c>
      <c r="I127" s="22" t="s">
        <v>143</v>
      </c>
      <c r="J127" t="str">
        <f t="shared" si="3"/>
        <v>ОК</v>
      </c>
      <c r="K127" t="str">
        <f t="shared" si="4"/>
        <v>ОК</v>
      </c>
      <c r="L127" t="str">
        <f t="shared" si="5"/>
        <v>ОК</v>
      </c>
    </row>
    <row r="128" spans="1:12" ht="66" thickBot="1">
      <c r="A128" s="3">
        <v>127</v>
      </c>
      <c r="B128" s="4" t="s">
        <v>282</v>
      </c>
      <c r="C128" s="4">
        <v>411</v>
      </c>
      <c r="D128" s="4" t="s">
        <v>283</v>
      </c>
      <c r="E128" s="4" t="s">
        <v>266</v>
      </c>
      <c r="F128" s="5"/>
      <c r="G128" s="20" t="s">
        <v>283</v>
      </c>
      <c r="H128" s="20" t="s">
        <v>266</v>
      </c>
      <c r="I128" s="21"/>
      <c r="J128" t="str">
        <f t="shared" si="3"/>
        <v>ОК</v>
      </c>
      <c r="K128" t="str">
        <f t="shared" si="4"/>
        <v>ОК</v>
      </c>
      <c r="L128" t="str">
        <f t="shared" si="5"/>
        <v>ОК</v>
      </c>
    </row>
    <row r="129" spans="1:12" ht="66" thickBot="1">
      <c r="A129" s="6">
        <v>128</v>
      </c>
      <c r="B129" s="7" t="s">
        <v>284</v>
      </c>
      <c r="C129" s="7">
        <v>411</v>
      </c>
      <c r="D129" s="7" t="s">
        <v>285</v>
      </c>
      <c r="E129" s="7" t="s">
        <v>41</v>
      </c>
      <c r="F129" s="7" t="s">
        <v>286</v>
      </c>
      <c r="G129" s="22" t="s">
        <v>285</v>
      </c>
      <c r="H129" s="22" t="s">
        <v>41</v>
      </c>
      <c r="I129" s="22" t="s">
        <v>286</v>
      </c>
      <c r="J129" t="str">
        <f t="shared" si="3"/>
        <v>ОК</v>
      </c>
      <c r="K129" t="str">
        <f t="shared" si="4"/>
        <v>ОК</v>
      </c>
      <c r="L129" t="str">
        <f t="shared" si="5"/>
        <v>ОК</v>
      </c>
    </row>
    <row r="130" spans="1:12" ht="66" thickBot="1">
      <c r="A130" s="3">
        <v>129</v>
      </c>
      <c r="B130" s="4" t="s">
        <v>287</v>
      </c>
      <c r="C130" s="4">
        <v>411</v>
      </c>
      <c r="D130" s="4" t="s">
        <v>288</v>
      </c>
      <c r="E130" s="4" t="s">
        <v>100</v>
      </c>
      <c r="F130" s="5"/>
      <c r="G130" s="20" t="s">
        <v>288</v>
      </c>
      <c r="H130" s="20" t="s">
        <v>100</v>
      </c>
      <c r="I130" s="21"/>
      <c r="J130" t="str">
        <f t="shared" ref="J130:J193" si="6">IF(D130=G130,"ОК","Несоответствие")</f>
        <v>ОК</v>
      </c>
      <c r="K130" t="str">
        <f t="shared" ref="K130:K193" si="7">IF(E130=H130,"ОК","Несоответствие")</f>
        <v>ОК</v>
      </c>
      <c r="L130" t="str">
        <f t="shared" ref="L130:L193" si="8">IF(F130=I130,"ОК","Несоответствие")</f>
        <v>ОК</v>
      </c>
    </row>
    <row r="131" spans="1:12" ht="66" thickBot="1">
      <c r="A131" s="6">
        <v>130</v>
      </c>
      <c r="B131" s="7" t="s">
        <v>289</v>
      </c>
      <c r="C131" s="7">
        <v>411</v>
      </c>
      <c r="D131" s="7" t="s">
        <v>290</v>
      </c>
      <c r="E131" s="7" t="s">
        <v>100</v>
      </c>
      <c r="F131" s="8"/>
      <c r="G131" s="22" t="s">
        <v>290</v>
      </c>
      <c r="H131" s="22" t="s">
        <v>100</v>
      </c>
      <c r="I131" s="23"/>
      <c r="J131" t="str">
        <f t="shared" si="6"/>
        <v>ОК</v>
      </c>
      <c r="K131" t="str">
        <f t="shared" si="7"/>
        <v>ОК</v>
      </c>
      <c r="L131" t="str">
        <f t="shared" si="8"/>
        <v>ОК</v>
      </c>
    </row>
    <row r="132" spans="1:12" ht="52.9" thickBot="1">
      <c r="A132" s="3">
        <v>131</v>
      </c>
      <c r="B132" s="4" t="s">
        <v>291</v>
      </c>
      <c r="C132" s="4">
        <v>411</v>
      </c>
      <c r="D132" s="4" t="s">
        <v>292</v>
      </c>
      <c r="E132" s="4" t="s">
        <v>11</v>
      </c>
      <c r="F132" s="5"/>
      <c r="G132" s="20" t="s">
        <v>292</v>
      </c>
      <c r="H132" s="20" t="s">
        <v>11</v>
      </c>
      <c r="I132" s="21"/>
      <c r="J132" t="str">
        <f t="shared" si="6"/>
        <v>ОК</v>
      </c>
      <c r="K132" t="str">
        <f t="shared" si="7"/>
        <v>ОК</v>
      </c>
      <c r="L132" t="str">
        <f t="shared" si="8"/>
        <v>ОК</v>
      </c>
    </row>
    <row r="133" spans="1:12" ht="66" thickBot="1">
      <c r="A133" s="6">
        <v>132</v>
      </c>
      <c r="B133" s="7" t="s">
        <v>293</v>
      </c>
      <c r="C133" s="7">
        <v>411</v>
      </c>
      <c r="D133" s="7" t="s">
        <v>294</v>
      </c>
      <c r="E133" s="7" t="s">
        <v>266</v>
      </c>
      <c r="F133" s="8"/>
      <c r="G133" s="22" t="s">
        <v>294</v>
      </c>
      <c r="H133" s="22" t="s">
        <v>266</v>
      </c>
      <c r="I133" s="23"/>
      <c r="J133" t="str">
        <f t="shared" si="6"/>
        <v>ОК</v>
      </c>
      <c r="K133" t="str">
        <f t="shared" si="7"/>
        <v>ОК</v>
      </c>
      <c r="L133" t="str">
        <f t="shared" si="8"/>
        <v>ОК</v>
      </c>
    </row>
    <row r="134" spans="1:12" ht="66" thickBot="1">
      <c r="A134" s="3">
        <v>133</v>
      </c>
      <c r="B134" s="4" t="s">
        <v>295</v>
      </c>
      <c r="C134" s="4">
        <v>411</v>
      </c>
      <c r="D134" s="4" t="s">
        <v>296</v>
      </c>
      <c r="E134" s="4" t="s">
        <v>11</v>
      </c>
      <c r="F134" s="5"/>
      <c r="G134" s="20" t="s">
        <v>296</v>
      </c>
      <c r="H134" s="20" t="s">
        <v>11</v>
      </c>
      <c r="I134" s="21"/>
      <c r="J134" t="str">
        <f t="shared" si="6"/>
        <v>ОК</v>
      </c>
      <c r="K134" t="str">
        <f t="shared" si="7"/>
        <v>ОК</v>
      </c>
      <c r="L134" t="str">
        <f t="shared" si="8"/>
        <v>ОК</v>
      </c>
    </row>
    <row r="135" spans="1:12" ht="66" thickBot="1">
      <c r="A135" s="6">
        <v>134</v>
      </c>
      <c r="B135" s="7" t="s">
        <v>297</v>
      </c>
      <c r="C135" s="7">
        <v>411</v>
      </c>
      <c r="D135" s="7" t="s">
        <v>298</v>
      </c>
      <c r="E135" s="11" t="s">
        <v>299</v>
      </c>
      <c r="F135" s="12"/>
      <c r="G135" s="22" t="s">
        <v>298</v>
      </c>
      <c r="H135" s="22" t="s">
        <v>299</v>
      </c>
      <c r="I135" s="23"/>
      <c r="J135" t="str">
        <f t="shared" si="6"/>
        <v>ОК</v>
      </c>
      <c r="K135" t="str">
        <f t="shared" si="7"/>
        <v>ОК</v>
      </c>
      <c r="L135" t="str">
        <f t="shared" si="8"/>
        <v>ОК</v>
      </c>
    </row>
    <row r="136" spans="1:12" ht="79.150000000000006" thickBot="1">
      <c r="A136" s="3">
        <v>135</v>
      </c>
      <c r="B136" s="4" t="s">
        <v>300</v>
      </c>
      <c r="C136" s="4">
        <v>411</v>
      </c>
      <c r="D136" s="13" t="s">
        <v>301</v>
      </c>
      <c r="E136" s="14" t="s">
        <v>266</v>
      </c>
      <c r="F136" s="15"/>
      <c r="G136" s="20" t="s">
        <v>301</v>
      </c>
      <c r="H136" s="20" t="s">
        <v>266</v>
      </c>
      <c r="I136" s="21"/>
      <c r="J136" t="str">
        <f t="shared" si="6"/>
        <v>ОК</v>
      </c>
      <c r="K136" t="str">
        <f t="shared" si="7"/>
        <v>ОК</v>
      </c>
      <c r="L136" t="str">
        <f t="shared" si="8"/>
        <v>ОК</v>
      </c>
    </row>
    <row r="137" spans="1:12" ht="66" thickBot="1">
      <c r="A137" s="6">
        <v>136</v>
      </c>
      <c r="B137" s="7" t="s">
        <v>302</v>
      </c>
      <c r="C137" s="7">
        <v>411</v>
      </c>
      <c r="D137" s="16" t="s">
        <v>303</v>
      </c>
      <c r="E137" s="17" t="s">
        <v>224</v>
      </c>
      <c r="F137" s="18"/>
      <c r="G137" s="22" t="s">
        <v>303</v>
      </c>
      <c r="H137" s="22" t="s">
        <v>224</v>
      </c>
      <c r="I137" s="23"/>
      <c r="J137" t="str">
        <f t="shared" si="6"/>
        <v>ОК</v>
      </c>
      <c r="K137" t="str">
        <f t="shared" si="7"/>
        <v>ОК</v>
      </c>
      <c r="L137" t="str">
        <f t="shared" si="8"/>
        <v>ОК</v>
      </c>
    </row>
    <row r="138" spans="1:12" ht="85.9" thickBot="1">
      <c r="A138" s="31">
        <v>137</v>
      </c>
      <c r="B138" s="32" t="s">
        <v>337</v>
      </c>
      <c r="C138" s="32">
        <v>206</v>
      </c>
      <c r="D138" s="32" t="s">
        <v>338</v>
      </c>
      <c r="E138" s="32" t="s">
        <v>8</v>
      </c>
      <c r="F138" s="32"/>
      <c r="G138" s="34" t="s">
        <v>338</v>
      </c>
      <c r="H138" s="34" t="s">
        <v>8</v>
      </c>
      <c r="I138" s="35"/>
      <c r="J138" t="str">
        <f t="shared" si="6"/>
        <v>ОК</v>
      </c>
      <c r="K138" t="str">
        <f t="shared" si="7"/>
        <v>ОК</v>
      </c>
      <c r="L138" t="str">
        <f t="shared" si="8"/>
        <v>ОК</v>
      </c>
    </row>
    <row r="139" spans="1:12" ht="71.650000000000006" thickBot="1">
      <c r="A139" s="31">
        <v>138</v>
      </c>
      <c r="B139" s="32" t="s">
        <v>339</v>
      </c>
      <c r="C139" s="32">
        <v>206</v>
      </c>
      <c r="D139" s="32" t="s">
        <v>340</v>
      </c>
      <c r="E139" s="32" t="s">
        <v>341</v>
      </c>
      <c r="F139" s="32"/>
      <c r="G139" s="34" t="s">
        <v>340</v>
      </c>
      <c r="H139" s="34" t="s">
        <v>341</v>
      </c>
      <c r="I139" s="35"/>
      <c r="J139" t="str">
        <f t="shared" si="6"/>
        <v>ОК</v>
      </c>
      <c r="K139" t="str">
        <f t="shared" si="7"/>
        <v>ОК</v>
      </c>
      <c r="L139" t="str">
        <f t="shared" si="8"/>
        <v>ОК</v>
      </c>
    </row>
    <row r="140" spans="1:12" ht="114.4" thickBot="1">
      <c r="A140" s="31">
        <v>139</v>
      </c>
      <c r="B140" s="32" t="s">
        <v>342</v>
      </c>
      <c r="C140" s="32">
        <v>206</v>
      </c>
      <c r="D140" s="32" t="s">
        <v>343</v>
      </c>
      <c r="E140" s="32" t="s">
        <v>41</v>
      </c>
      <c r="F140" s="32" t="s">
        <v>30</v>
      </c>
      <c r="G140" s="34" t="s">
        <v>343</v>
      </c>
      <c r="H140" s="34" t="s">
        <v>41</v>
      </c>
      <c r="I140" s="35" t="s">
        <v>30</v>
      </c>
      <c r="J140" t="str">
        <f t="shared" si="6"/>
        <v>ОК</v>
      </c>
      <c r="K140" t="str">
        <f t="shared" si="7"/>
        <v>ОК</v>
      </c>
      <c r="L140" t="str">
        <f t="shared" si="8"/>
        <v>ОК</v>
      </c>
    </row>
    <row r="141" spans="1:12" ht="100.15" thickBot="1">
      <c r="A141" s="31">
        <v>140</v>
      </c>
      <c r="B141" s="32" t="s">
        <v>344</v>
      </c>
      <c r="C141" s="32">
        <v>206</v>
      </c>
      <c r="D141" s="32" t="s">
        <v>345</v>
      </c>
      <c r="E141" s="32" t="s">
        <v>346</v>
      </c>
      <c r="F141" s="32"/>
      <c r="G141" s="34" t="s">
        <v>345</v>
      </c>
      <c r="H141" s="34" t="s">
        <v>346</v>
      </c>
      <c r="I141" s="35"/>
      <c r="J141" t="str">
        <f t="shared" si="6"/>
        <v>ОК</v>
      </c>
      <c r="K141" t="str">
        <f t="shared" si="7"/>
        <v>ОК</v>
      </c>
      <c r="L141" t="str">
        <f t="shared" si="8"/>
        <v>ОК</v>
      </c>
    </row>
    <row r="142" spans="1:12" ht="71.650000000000006" thickBot="1">
      <c r="A142" s="31">
        <v>141</v>
      </c>
      <c r="B142" s="32" t="s">
        <v>347</v>
      </c>
      <c r="C142" s="32">
        <v>206</v>
      </c>
      <c r="D142" s="32" t="s">
        <v>348</v>
      </c>
      <c r="E142" s="32" t="s">
        <v>41</v>
      </c>
      <c r="F142" s="32"/>
      <c r="G142" s="34" t="s">
        <v>348</v>
      </c>
      <c r="H142" s="34" t="s">
        <v>41</v>
      </c>
      <c r="I142" s="35"/>
      <c r="J142" t="str">
        <f t="shared" si="6"/>
        <v>ОК</v>
      </c>
      <c r="K142" t="str">
        <f t="shared" si="7"/>
        <v>ОК</v>
      </c>
      <c r="L142" t="str">
        <f t="shared" si="8"/>
        <v>ОК</v>
      </c>
    </row>
    <row r="143" spans="1:12" ht="85.9" thickBot="1">
      <c r="A143" s="31">
        <v>142</v>
      </c>
      <c r="B143" s="32" t="s">
        <v>349</v>
      </c>
      <c r="C143" s="32">
        <v>207</v>
      </c>
      <c r="D143" s="32" t="s">
        <v>350</v>
      </c>
      <c r="E143" s="32" t="s">
        <v>346</v>
      </c>
      <c r="F143" s="32"/>
      <c r="G143" s="34" t="s">
        <v>350</v>
      </c>
      <c r="H143" s="34" t="s">
        <v>346</v>
      </c>
      <c r="I143" s="35"/>
      <c r="J143" t="str">
        <f t="shared" si="6"/>
        <v>ОК</v>
      </c>
      <c r="K143" t="str">
        <f t="shared" si="7"/>
        <v>ОК</v>
      </c>
      <c r="L143" t="str">
        <f t="shared" si="8"/>
        <v>ОК</v>
      </c>
    </row>
    <row r="144" spans="1:12" ht="61.15" customHeight="1" thickBot="1">
      <c r="A144" s="36">
        <v>143</v>
      </c>
      <c r="B144" s="36" t="s">
        <v>351</v>
      </c>
      <c r="C144" s="36">
        <v>207</v>
      </c>
      <c r="D144" s="36" t="s">
        <v>352</v>
      </c>
      <c r="E144" s="36" t="s">
        <v>8</v>
      </c>
      <c r="F144" s="35" t="s">
        <v>537</v>
      </c>
      <c r="G144" s="34" t="s">
        <v>352</v>
      </c>
      <c r="H144" s="34" t="s">
        <v>8</v>
      </c>
      <c r="I144" s="35" t="s">
        <v>537</v>
      </c>
      <c r="J144" t="str">
        <f t="shared" si="6"/>
        <v>ОК</v>
      </c>
      <c r="K144" t="str">
        <f t="shared" si="7"/>
        <v>ОК</v>
      </c>
      <c r="L144" t="str">
        <f t="shared" si="8"/>
        <v>ОК</v>
      </c>
    </row>
    <row r="145" spans="1:12" ht="30.4" customHeight="1">
      <c r="A145" s="36">
        <v>144</v>
      </c>
      <c r="B145" s="36" t="s">
        <v>353</v>
      </c>
      <c r="C145" s="36">
        <v>207</v>
      </c>
      <c r="D145" s="36" t="s">
        <v>354</v>
      </c>
      <c r="E145" s="36" t="s">
        <v>8</v>
      </c>
      <c r="F145" s="35" t="s">
        <v>537</v>
      </c>
      <c r="G145" s="34" t="s">
        <v>354</v>
      </c>
      <c r="H145" s="34" t="s">
        <v>8</v>
      </c>
      <c r="I145" s="35" t="s">
        <v>537</v>
      </c>
      <c r="J145" t="str">
        <f t="shared" si="6"/>
        <v>ОК</v>
      </c>
      <c r="K145" t="str">
        <f t="shared" si="7"/>
        <v>ОК</v>
      </c>
      <c r="L145" t="str">
        <f t="shared" si="8"/>
        <v>ОК</v>
      </c>
    </row>
    <row r="146" spans="1:12" ht="71.650000000000006" thickBot="1">
      <c r="A146" s="31">
        <v>145</v>
      </c>
      <c r="B146" s="32" t="s">
        <v>355</v>
      </c>
      <c r="C146" s="32">
        <v>207</v>
      </c>
      <c r="D146" s="32" t="s">
        <v>356</v>
      </c>
      <c r="E146" s="32" t="s">
        <v>121</v>
      </c>
      <c r="F146" s="32"/>
      <c r="G146" s="34" t="s">
        <v>356</v>
      </c>
      <c r="H146" s="34" t="s">
        <v>121</v>
      </c>
      <c r="I146" s="35"/>
      <c r="J146" t="str">
        <f t="shared" si="6"/>
        <v>ОК</v>
      </c>
      <c r="K146" t="str">
        <f t="shared" si="7"/>
        <v>ОК</v>
      </c>
      <c r="L146" t="str">
        <f t="shared" si="8"/>
        <v>ОК</v>
      </c>
    </row>
    <row r="147" spans="1:12" ht="71.650000000000006" thickBot="1">
      <c r="A147" s="31">
        <v>146</v>
      </c>
      <c r="B147" s="32" t="s">
        <v>357</v>
      </c>
      <c r="C147" s="32">
        <v>207</v>
      </c>
      <c r="D147" s="32" t="s">
        <v>358</v>
      </c>
      <c r="E147" s="32" t="s">
        <v>258</v>
      </c>
      <c r="F147" s="32"/>
      <c r="G147" s="34" t="s">
        <v>358</v>
      </c>
      <c r="H147" s="34" t="s">
        <v>258</v>
      </c>
      <c r="I147" s="35"/>
      <c r="J147" t="str">
        <f t="shared" si="6"/>
        <v>ОК</v>
      </c>
      <c r="K147" t="str">
        <f t="shared" si="7"/>
        <v>ОК</v>
      </c>
      <c r="L147" t="str">
        <f t="shared" si="8"/>
        <v>ОК</v>
      </c>
    </row>
    <row r="148" spans="1:12" ht="71.650000000000006" thickBot="1">
      <c r="A148" s="31">
        <v>147</v>
      </c>
      <c r="B148" s="32" t="s">
        <v>359</v>
      </c>
      <c r="C148" s="32">
        <v>207</v>
      </c>
      <c r="D148" s="32" t="s">
        <v>360</v>
      </c>
      <c r="E148" s="32" t="s">
        <v>251</v>
      </c>
      <c r="F148" s="32"/>
      <c r="G148" s="34" t="s">
        <v>360</v>
      </c>
      <c r="H148" s="34" t="s">
        <v>251</v>
      </c>
      <c r="I148" s="35"/>
      <c r="J148" t="str">
        <f t="shared" si="6"/>
        <v>ОК</v>
      </c>
      <c r="K148" t="str">
        <f t="shared" si="7"/>
        <v>ОК</v>
      </c>
      <c r="L148" t="str">
        <f t="shared" si="8"/>
        <v>ОК</v>
      </c>
    </row>
    <row r="149" spans="1:12" ht="71.650000000000006" thickBot="1">
      <c r="A149" s="31">
        <v>148</v>
      </c>
      <c r="B149" s="32" t="s">
        <v>361</v>
      </c>
      <c r="C149" s="32">
        <v>207</v>
      </c>
      <c r="D149" s="32" t="s">
        <v>362</v>
      </c>
      <c r="E149" s="32" t="s">
        <v>164</v>
      </c>
      <c r="F149" s="32"/>
      <c r="G149" s="34" t="s">
        <v>362</v>
      </c>
      <c r="H149" s="34" t="s">
        <v>164</v>
      </c>
      <c r="I149" s="35"/>
      <c r="J149" t="str">
        <f t="shared" si="6"/>
        <v>ОК</v>
      </c>
      <c r="K149" t="str">
        <f t="shared" si="7"/>
        <v>ОК</v>
      </c>
      <c r="L149" t="str">
        <f t="shared" si="8"/>
        <v>ОК</v>
      </c>
    </row>
    <row r="150" spans="1:12" ht="85.9" thickBot="1">
      <c r="A150" s="31">
        <v>149</v>
      </c>
      <c r="B150" s="32" t="s">
        <v>363</v>
      </c>
      <c r="C150" s="32">
        <v>207</v>
      </c>
      <c r="D150" s="32" t="s">
        <v>364</v>
      </c>
      <c r="E150" s="32" t="s">
        <v>164</v>
      </c>
      <c r="F150" s="32"/>
      <c r="G150" s="34" t="s">
        <v>364</v>
      </c>
      <c r="H150" s="34" t="s">
        <v>164</v>
      </c>
      <c r="I150" s="35"/>
      <c r="J150" t="str">
        <f t="shared" si="6"/>
        <v>ОК</v>
      </c>
      <c r="K150" t="str">
        <f t="shared" si="7"/>
        <v>ОК</v>
      </c>
      <c r="L150" t="str">
        <f t="shared" si="8"/>
        <v>ОК</v>
      </c>
    </row>
    <row r="151" spans="1:12" ht="71.650000000000006" thickBot="1">
      <c r="A151" s="31">
        <v>150</v>
      </c>
      <c r="B151" s="32" t="s">
        <v>365</v>
      </c>
      <c r="C151" s="32">
        <v>207</v>
      </c>
      <c r="D151" s="32" t="s">
        <v>366</v>
      </c>
      <c r="E151" s="32" t="s">
        <v>121</v>
      </c>
      <c r="F151" s="32"/>
      <c r="G151" s="34" t="s">
        <v>366</v>
      </c>
      <c r="H151" s="34" t="s">
        <v>121</v>
      </c>
      <c r="I151" s="35"/>
      <c r="J151" t="str">
        <f t="shared" si="6"/>
        <v>ОК</v>
      </c>
      <c r="K151" t="str">
        <f t="shared" si="7"/>
        <v>ОК</v>
      </c>
      <c r="L151" t="str">
        <f t="shared" si="8"/>
        <v>ОК</v>
      </c>
    </row>
    <row r="152" spans="1:12" ht="85.9" thickBot="1">
      <c r="A152" s="31">
        <v>151</v>
      </c>
      <c r="B152" s="32" t="s">
        <v>367</v>
      </c>
      <c r="C152" s="32">
        <v>208</v>
      </c>
      <c r="D152" s="32" t="s">
        <v>368</v>
      </c>
      <c r="E152" s="32" t="s">
        <v>266</v>
      </c>
      <c r="F152" s="32" t="s">
        <v>30</v>
      </c>
      <c r="G152" s="34" t="s">
        <v>368</v>
      </c>
      <c r="H152" s="34" t="s">
        <v>266</v>
      </c>
      <c r="I152" s="35" t="s">
        <v>30</v>
      </c>
      <c r="J152" t="str">
        <f t="shared" si="6"/>
        <v>ОК</v>
      </c>
      <c r="K152" t="str">
        <f t="shared" si="7"/>
        <v>ОК</v>
      </c>
      <c r="L152" t="str">
        <f t="shared" si="8"/>
        <v>ОК</v>
      </c>
    </row>
    <row r="153" spans="1:12" ht="57.4" thickBot="1">
      <c r="A153" s="31">
        <v>152</v>
      </c>
      <c r="B153" s="32" t="s">
        <v>369</v>
      </c>
      <c r="C153" s="32">
        <v>208</v>
      </c>
      <c r="D153" s="32" t="s">
        <v>370</v>
      </c>
      <c r="E153" s="32" t="s">
        <v>74</v>
      </c>
      <c r="F153" s="32"/>
      <c r="G153" s="34" t="s">
        <v>370</v>
      </c>
      <c r="H153" s="34" t="s">
        <v>74</v>
      </c>
      <c r="I153" s="35"/>
      <c r="J153" t="str">
        <f t="shared" si="6"/>
        <v>ОК</v>
      </c>
      <c r="K153" t="str">
        <f t="shared" si="7"/>
        <v>ОК</v>
      </c>
      <c r="L153" t="str">
        <f t="shared" si="8"/>
        <v>ОК</v>
      </c>
    </row>
    <row r="154" spans="1:12" ht="71.650000000000006" thickBot="1">
      <c r="A154" s="31">
        <v>153</v>
      </c>
      <c r="B154" s="32" t="s">
        <v>371</v>
      </c>
      <c r="C154" s="32">
        <v>208</v>
      </c>
      <c r="D154" s="32" t="s">
        <v>372</v>
      </c>
      <c r="E154" s="32" t="s">
        <v>100</v>
      </c>
      <c r="F154" s="32"/>
      <c r="G154" s="34" t="s">
        <v>372</v>
      </c>
      <c r="H154" s="34" t="s">
        <v>100</v>
      </c>
      <c r="I154" s="35"/>
      <c r="J154" t="str">
        <f t="shared" si="6"/>
        <v>ОК</v>
      </c>
      <c r="K154" t="str">
        <f t="shared" si="7"/>
        <v>ОК</v>
      </c>
      <c r="L154" t="str">
        <f t="shared" si="8"/>
        <v>ОК</v>
      </c>
    </row>
    <row r="155" spans="1:12" ht="79.150000000000006" thickBot="1">
      <c r="A155" s="31">
        <v>154</v>
      </c>
      <c r="B155" s="32" t="s">
        <v>373</v>
      </c>
      <c r="C155" s="32">
        <v>208</v>
      </c>
      <c r="D155" s="32" t="s">
        <v>374</v>
      </c>
      <c r="E155" s="32" t="s">
        <v>100</v>
      </c>
      <c r="F155" s="32" t="s">
        <v>30</v>
      </c>
      <c r="G155" s="34" t="s">
        <v>374</v>
      </c>
      <c r="H155" s="34" t="s">
        <v>100</v>
      </c>
      <c r="I155" s="35" t="s">
        <v>30</v>
      </c>
      <c r="J155" t="str">
        <f t="shared" si="6"/>
        <v>ОК</v>
      </c>
      <c r="K155" t="str">
        <f t="shared" si="7"/>
        <v>ОК</v>
      </c>
      <c r="L155" t="str">
        <f t="shared" si="8"/>
        <v>ОК</v>
      </c>
    </row>
    <row r="156" spans="1:12" ht="71.650000000000006" thickBot="1">
      <c r="A156" s="31">
        <v>155</v>
      </c>
      <c r="B156" s="32" t="s">
        <v>375</v>
      </c>
      <c r="C156" s="32">
        <v>208</v>
      </c>
      <c r="D156" s="32" t="s">
        <v>376</v>
      </c>
      <c r="E156" s="32" t="s">
        <v>100</v>
      </c>
      <c r="F156" s="32"/>
      <c r="G156" s="34" t="s">
        <v>376</v>
      </c>
      <c r="H156" s="34" t="s">
        <v>100</v>
      </c>
      <c r="I156" s="35"/>
      <c r="J156" t="str">
        <f t="shared" si="6"/>
        <v>ОК</v>
      </c>
      <c r="K156" t="str">
        <f t="shared" si="7"/>
        <v>ОК</v>
      </c>
      <c r="L156" t="str">
        <f t="shared" si="8"/>
        <v>ОК</v>
      </c>
    </row>
    <row r="157" spans="1:12" ht="100.15" thickBot="1">
      <c r="A157" s="31">
        <v>156</v>
      </c>
      <c r="B157" s="32" t="s">
        <v>377</v>
      </c>
      <c r="C157" s="32">
        <v>208</v>
      </c>
      <c r="D157" s="32" t="s">
        <v>378</v>
      </c>
      <c r="E157" s="32" t="s">
        <v>100</v>
      </c>
      <c r="F157" s="32"/>
      <c r="G157" s="34" t="s">
        <v>378</v>
      </c>
      <c r="H157" s="34" t="s">
        <v>100</v>
      </c>
      <c r="I157" s="35"/>
      <c r="J157" t="str">
        <f t="shared" si="6"/>
        <v>ОК</v>
      </c>
      <c r="K157" t="str">
        <f t="shared" si="7"/>
        <v>ОК</v>
      </c>
      <c r="L157" t="str">
        <f t="shared" si="8"/>
        <v>ОК</v>
      </c>
    </row>
    <row r="158" spans="1:12" ht="57.4" thickBot="1">
      <c r="A158" s="31">
        <v>157</v>
      </c>
      <c r="B158" s="32" t="s">
        <v>379</v>
      </c>
      <c r="C158" s="32">
        <v>208</v>
      </c>
      <c r="D158" s="32" t="s">
        <v>380</v>
      </c>
      <c r="E158" s="32" t="s">
        <v>8</v>
      </c>
      <c r="F158" s="32"/>
      <c r="G158" s="34" t="s">
        <v>380</v>
      </c>
      <c r="H158" s="34" t="s">
        <v>8</v>
      </c>
      <c r="I158" s="35"/>
      <c r="J158" t="str">
        <f t="shared" si="6"/>
        <v>ОК</v>
      </c>
      <c r="K158" t="str">
        <f t="shared" si="7"/>
        <v>ОК</v>
      </c>
      <c r="L158" t="str">
        <f t="shared" si="8"/>
        <v>ОК</v>
      </c>
    </row>
    <row r="159" spans="1:12" ht="85.9" thickBot="1">
      <c r="A159" s="31">
        <v>158</v>
      </c>
      <c r="B159" s="32" t="s">
        <v>381</v>
      </c>
      <c r="C159" s="32">
        <v>208</v>
      </c>
      <c r="D159" s="32" t="s">
        <v>382</v>
      </c>
      <c r="E159" s="32" t="s">
        <v>266</v>
      </c>
      <c r="F159" s="32"/>
      <c r="G159" s="34" t="s">
        <v>382</v>
      </c>
      <c r="H159" s="34" t="s">
        <v>266</v>
      </c>
      <c r="I159" s="35"/>
      <c r="J159" t="str">
        <f t="shared" si="6"/>
        <v>ОК</v>
      </c>
      <c r="K159" t="str">
        <f t="shared" si="7"/>
        <v>ОК</v>
      </c>
      <c r="L159" t="str">
        <f t="shared" si="8"/>
        <v>ОК</v>
      </c>
    </row>
    <row r="160" spans="1:12" ht="71.25">
      <c r="A160" s="36">
        <v>159</v>
      </c>
      <c r="B160" s="36" t="s">
        <v>383</v>
      </c>
      <c r="C160" s="36">
        <v>208</v>
      </c>
      <c r="D160" s="34" t="s">
        <v>538</v>
      </c>
      <c r="E160" s="36" t="s">
        <v>8</v>
      </c>
      <c r="F160" s="36"/>
      <c r="G160" s="34" t="s">
        <v>538</v>
      </c>
      <c r="H160" s="34" t="s">
        <v>8</v>
      </c>
      <c r="I160" s="35"/>
      <c r="J160" t="str">
        <f t="shared" si="6"/>
        <v>ОК</v>
      </c>
      <c r="K160" t="str">
        <f t="shared" si="7"/>
        <v>ОК</v>
      </c>
      <c r="L160" t="str">
        <f t="shared" si="8"/>
        <v>ОК</v>
      </c>
    </row>
    <row r="161" spans="1:12" ht="85.9" thickBot="1">
      <c r="A161" s="31">
        <v>160</v>
      </c>
      <c r="B161" s="32" t="s">
        <v>384</v>
      </c>
      <c r="C161" s="32">
        <v>208</v>
      </c>
      <c r="D161" s="32" t="s">
        <v>385</v>
      </c>
      <c r="E161" s="32" t="s">
        <v>8</v>
      </c>
      <c r="F161" s="32"/>
      <c r="G161" s="34" t="s">
        <v>385</v>
      </c>
      <c r="H161" s="34" t="s">
        <v>8</v>
      </c>
      <c r="I161" s="35"/>
      <c r="J161" t="str">
        <f t="shared" si="6"/>
        <v>ОК</v>
      </c>
      <c r="K161" t="str">
        <f t="shared" si="7"/>
        <v>ОК</v>
      </c>
      <c r="L161" t="str">
        <f t="shared" si="8"/>
        <v>ОК</v>
      </c>
    </row>
    <row r="162" spans="1:12" ht="71.25">
      <c r="A162" s="36">
        <v>161</v>
      </c>
      <c r="B162" s="36" t="s">
        <v>386</v>
      </c>
      <c r="C162" s="36">
        <v>208</v>
      </c>
      <c r="D162" s="34" t="s">
        <v>539</v>
      </c>
      <c r="E162" s="36" t="s">
        <v>346</v>
      </c>
      <c r="F162" s="36"/>
      <c r="G162" s="34" t="s">
        <v>539</v>
      </c>
      <c r="H162" s="34" t="s">
        <v>346</v>
      </c>
      <c r="I162" s="35"/>
      <c r="J162" t="str">
        <f t="shared" si="6"/>
        <v>ОК</v>
      </c>
      <c r="K162" t="str">
        <f t="shared" si="7"/>
        <v>ОК</v>
      </c>
      <c r="L162" t="str">
        <f t="shared" si="8"/>
        <v>ОК</v>
      </c>
    </row>
    <row r="163" spans="1:12" ht="71.650000000000006" thickBot="1">
      <c r="A163" s="31">
        <v>162</v>
      </c>
      <c r="B163" s="32" t="s">
        <v>387</v>
      </c>
      <c r="C163" s="32">
        <v>208</v>
      </c>
      <c r="D163" s="32" t="s">
        <v>388</v>
      </c>
      <c r="E163" s="32" t="s">
        <v>346</v>
      </c>
      <c r="F163" s="32"/>
      <c r="G163" s="34" t="s">
        <v>388</v>
      </c>
      <c r="H163" s="34" t="s">
        <v>346</v>
      </c>
      <c r="I163" s="35"/>
      <c r="J163" t="str">
        <f t="shared" si="6"/>
        <v>ОК</v>
      </c>
      <c r="K163" t="str">
        <f t="shared" si="7"/>
        <v>ОК</v>
      </c>
      <c r="L163" t="str">
        <f t="shared" si="8"/>
        <v>ОК</v>
      </c>
    </row>
    <row r="164" spans="1:12" ht="85.9" thickBot="1">
      <c r="A164" s="31">
        <v>163</v>
      </c>
      <c r="B164" s="32" t="s">
        <v>389</v>
      </c>
      <c r="C164" s="32">
        <v>208</v>
      </c>
      <c r="D164" s="32" t="s">
        <v>390</v>
      </c>
      <c r="E164" s="32" t="s">
        <v>266</v>
      </c>
      <c r="F164" s="32"/>
      <c r="G164" s="34" t="s">
        <v>390</v>
      </c>
      <c r="H164" s="34" t="s">
        <v>266</v>
      </c>
      <c r="I164" s="35"/>
      <c r="J164" t="str">
        <f t="shared" si="6"/>
        <v>ОК</v>
      </c>
      <c r="K164" t="str">
        <f t="shared" si="7"/>
        <v>ОК</v>
      </c>
      <c r="L164" t="str">
        <f t="shared" si="8"/>
        <v>ОК</v>
      </c>
    </row>
    <row r="165" spans="1:12" ht="157.9" thickBot="1">
      <c r="A165" s="31">
        <v>164</v>
      </c>
      <c r="B165" s="32" t="s">
        <v>391</v>
      </c>
      <c r="C165" s="32">
        <v>209</v>
      </c>
      <c r="D165" s="32" t="s">
        <v>392</v>
      </c>
      <c r="E165" s="32" t="s">
        <v>29</v>
      </c>
      <c r="F165" s="33" t="s">
        <v>60</v>
      </c>
      <c r="G165" s="34" t="s">
        <v>392</v>
      </c>
      <c r="H165" s="34" t="s">
        <v>29</v>
      </c>
      <c r="I165" s="35" t="s">
        <v>540</v>
      </c>
      <c r="J165" t="str">
        <f t="shared" si="6"/>
        <v>ОК</v>
      </c>
      <c r="K165" t="str">
        <f t="shared" si="7"/>
        <v>ОК</v>
      </c>
      <c r="L165" t="str">
        <f t="shared" si="8"/>
        <v>ОК</v>
      </c>
    </row>
    <row r="166" spans="1:12" ht="85.5">
      <c r="A166" s="36">
        <v>165</v>
      </c>
      <c r="B166" s="36" t="s">
        <v>393</v>
      </c>
      <c r="C166" s="36">
        <v>209</v>
      </c>
      <c r="D166" s="34" t="s">
        <v>541</v>
      </c>
      <c r="E166" s="36" t="s">
        <v>121</v>
      </c>
      <c r="F166" s="36"/>
      <c r="G166" s="34" t="s">
        <v>541</v>
      </c>
      <c r="H166" s="34" t="s">
        <v>121</v>
      </c>
      <c r="I166" s="35"/>
      <c r="J166" t="str">
        <f t="shared" si="6"/>
        <v>ОК</v>
      </c>
      <c r="K166" t="str">
        <f t="shared" si="7"/>
        <v>ОК</v>
      </c>
      <c r="L166" t="str">
        <f t="shared" si="8"/>
        <v>ОК</v>
      </c>
    </row>
    <row r="167" spans="1:12" ht="100.15" thickBot="1">
      <c r="A167" s="31">
        <v>166</v>
      </c>
      <c r="B167" s="32" t="s">
        <v>394</v>
      </c>
      <c r="C167" s="32">
        <v>209</v>
      </c>
      <c r="D167" s="32" t="s">
        <v>395</v>
      </c>
      <c r="E167" s="32" t="s">
        <v>29</v>
      </c>
      <c r="F167" s="32" t="s">
        <v>30</v>
      </c>
      <c r="G167" s="34" t="s">
        <v>395</v>
      </c>
      <c r="H167" s="34" t="s">
        <v>29</v>
      </c>
      <c r="I167" s="35" t="s">
        <v>30</v>
      </c>
      <c r="J167" t="str">
        <f t="shared" si="6"/>
        <v>ОК</v>
      </c>
      <c r="K167" t="str">
        <f t="shared" si="7"/>
        <v>ОК</v>
      </c>
      <c r="L167" t="str">
        <f t="shared" si="8"/>
        <v>ОК</v>
      </c>
    </row>
    <row r="168" spans="1:12" ht="85.9" thickBot="1">
      <c r="A168" s="31">
        <v>167</v>
      </c>
      <c r="B168" s="32" t="s">
        <v>396</v>
      </c>
      <c r="C168" s="32">
        <v>209</v>
      </c>
      <c r="D168" s="32" t="s">
        <v>397</v>
      </c>
      <c r="E168" s="32" t="s">
        <v>398</v>
      </c>
      <c r="F168" s="32" t="s">
        <v>399</v>
      </c>
      <c r="G168" s="34" t="s">
        <v>397</v>
      </c>
      <c r="H168" s="34" t="s">
        <v>398</v>
      </c>
      <c r="I168" s="35" t="s">
        <v>399</v>
      </c>
      <c r="J168" t="str">
        <f t="shared" si="6"/>
        <v>ОК</v>
      </c>
      <c r="K168" t="str">
        <f t="shared" si="7"/>
        <v>ОК</v>
      </c>
      <c r="L168" t="str">
        <f t="shared" si="8"/>
        <v>ОК</v>
      </c>
    </row>
    <row r="169" spans="1:12" ht="71.650000000000006" thickBot="1">
      <c r="A169" s="31">
        <v>168</v>
      </c>
      <c r="B169" s="32" t="s">
        <v>400</v>
      </c>
      <c r="C169" s="32">
        <v>209</v>
      </c>
      <c r="D169" s="32" t="s">
        <v>401</v>
      </c>
      <c r="E169" s="32" t="s">
        <v>29</v>
      </c>
      <c r="F169" s="32"/>
      <c r="G169" s="34" t="s">
        <v>401</v>
      </c>
      <c r="H169" s="34" t="s">
        <v>29</v>
      </c>
      <c r="I169" s="35"/>
      <c r="J169" t="str">
        <f t="shared" si="6"/>
        <v>ОК</v>
      </c>
      <c r="K169" t="str">
        <f t="shared" si="7"/>
        <v>ОК</v>
      </c>
      <c r="L169" t="str">
        <f t="shared" si="8"/>
        <v>ОК</v>
      </c>
    </row>
    <row r="170" spans="1:12" ht="114.4" thickBot="1">
      <c r="A170" s="31">
        <v>169</v>
      </c>
      <c r="B170" s="32" t="s">
        <v>402</v>
      </c>
      <c r="C170" s="32">
        <v>209</v>
      </c>
      <c r="D170" s="32" t="s">
        <v>403</v>
      </c>
      <c r="E170" s="32" t="s">
        <v>404</v>
      </c>
      <c r="F170" s="32"/>
      <c r="G170" s="34" t="s">
        <v>403</v>
      </c>
      <c r="H170" s="34" t="s">
        <v>404</v>
      </c>
      <c r="I170" s="35"/>
      <c r="J170" t="str">
        <f t="shared" si="6"/>
        <v>ОК</v>
      </c>
      <c r="K170" t="str">
        <f t="shared" si="7"/>
        <v>ОК</v>
      </c>
      <c r="L170" t="str">
        <f t="shared" si="8"/>
        <v>ОК</v>
      </c>
    </row>
    <row r="171" spans="1:12" ht="85.5">
      <c r="A171" s="36">
        <v>170</v>
      </c>
      <c r="B171" s="36" t="s">
        <v>405</v>
      </c>
      <c r="C171" s="36">
        <v>209</v>
      </c>
      <c r="D171" s="34" t="s">
        <v>542</v>
      </c>
      <c r="E171" s="36" t="s">
        <v>266</v>
      </c>
      <c r="F171" s="36"/>
      <c r="G171" s="34" t="s">
        <v>542</v>
      </c>
      <c r="H171" s="34" t="s">
        <v>266</v>
      </c>
      <c r="I171" s="35"/>
      <c r="J171" t="str">
        <f t="shared" si="6"/>
        <v>ОК</v>
      </c>
      <c r="K171" t="str">
        <f t="shared" si="7"/>
        <v>ОК</v>
      </c>
      <c r="L171" t="str">
        <f t="shared" si="8"/>
        <v>ОК</v>
      </c>
    </row>
    <row r="172" spans="1:12" ht="71.650000000000006" thickBot="1">
      <c r="A172" s="31">
        <v>171</v>
      </c>
      <c r="B172" s="32" t="s">
        <v>406</v>
      </c>
      <c r="C172" s="32">
        <v>209</v>
      </c>
      <c r="D172" s="32" t="s">
        <v>407</v>
      </c>
      <c r="E172" s="32" t="s">
        <v>29</v>
      </c>
      <c r="F172" s="32"/>
      <c r="G172" s="34" t="s">
        <v>407</v>
      </c>
      <c r="H172" s="34" t="s">
        <v>29</v>
      </c>
      <c r="I172" s="35"/>
      <c r="J172" t="str">
        <f t="shared" si="6"/>
        <v>ОК</v>
      </c>
      <c r="K172" t="str">
        <f t="shared" si="7"/>
        <v>ОК</v>
      </c>
      <c r="L172" t="str">
        <f t="shared" si="8"/>
        <v>ОК</v>
      </c>
    </row>
    <row r="173" spans="1:12" ht="100.15" thickBot="1">
      <c r="A173" s="31">
        <v>172</v>
      </c>
      <c r="B173" s="32" t="s">
        <v>408</v>
      </c>
      <c r="C173" s="32">
        <v>209</v>
      </c>
      <c r="D173" s="32" t="s">
        <v>409</v>
      </c>
      <c r="E173" s="32" t="s">
        <v>106</v>
      </c>
      <c r="F173" s="32" t="s">
        <v>143</v>
      </c>
      <c r="G173" s="34" t="s">
        <v>409</v>
      </c>
      <c r="H173" s="34" t="s">
        <v>106</v>
      </c>
      <c r="I173" s="35" t="s">
        <v>143</v>
      </c>
      <c r="J173" t="str">
        <f t="shared" si="6"/>
        <v>ОК</v>
      </c>
      <c r="K173" t="str">
        <f t="shared" si="7"/>
        <v>ОК</v>
      </c>
      <c r="L173" t="str">
        <f t="shared" si="8"/>
        <v>ОК</v>
      </c>
    </row>
    <row r="174" spans="1:12" ht="85.9" thickBot="1">
      <c r="A174" s="31">
        <v>173</v>
      </c>
      <c r="B174" s="32" t="s">
        <v>410</v>
      </c>
      <c r="C174" s="32">
        <v>209</v>
      </c>
      <c r="D174" s="32" t="s">
        <v>411</v>
      </c>
      <c r="E174" s="32" t="s">
        <v>121</v>
      </c>
      <c r="F174" s="32" t="s">
        <v>143</v>
      </c>
      <c r="G174" s="34" t="s">
        <v>411</v>
      </c>
      <c r="H174" s="34" t="s">
        <v>121</v>
      </c>
      <c r="I174" s="35" t="s">
        <v>143</v>
      </c>
      <c r="J174" t="str">
        <f t="shared" si="6"/>
        <v>ОК</v>
      </c>
      <c r="K174" t="str">
        <f t="shared" si="7"/>
        <v>ОК</v>
      </c>
      <c r="L174" t="str">
        <f t="shared" si="8"/>
        <v>ОК</v>
      </c>
    </row>
    <row r="175" spans="1:12" ht="57.4" thickBot="1">
      <c r="A175" s="31">
        <v>174</v>
      </c>
      <c r="B175" s="32" t="s">
        <v>412</v>
      </c>
      <c r="C175" s="32">
        <v>209</v>
      </c>
      <c r="D175" s="32" t="s">
        <v>413</v>
      </c>
      <c r="E175" s="32" t="s">
        <v>8</v>
      </c>
      <c r="F175" s="32"/>
      <c r="G175" s="34" t="s">
        <v>413</v>
      </c>
      <c r="H175" s="34" t="s">
        <v>8</v>
      </c>
      <c r="I175" s="35"/>
      <c r="J175" t="str">
        <f t="shared" si="6"/>
        <v>ОК</v>
      </c>
      <c r="K175" t="str">
        <f t="shared" si="7"/>
        <v>ОК</v>
      </c>
      <c r="L175" t="str">
        <f t="shared" si="8"/>
        <v>ОК</v>
      </c>
    </row>
    <row r="176" spans="1:12" ht="30.4" customHeight="1" thickBot="1">
      <c r="A176" s="36">
        <v>175</v>
      </c>
      <c r="B176" s="36" t="s">
        <v>414</v>
      </c>
      <c r="C176" s="36">
        <v>209</v>
      </c>
      <c r="D176" s="36" t="s">
        <v>415</v>
      </c>
      <c r="E176" s="32" t="s">
        <v>41</v>
      </c>
      <c r="F176" s="36" t="s">
        <v>416</v>
      </c>
      <c r="G176" s="34" t="s">
        <v>415</v>
      </c>
      <c r="H176" s="34" t="s">
        <v>41</v>
      </c>
      <c r="I176" s="35" t="s">
        <v>416</v>
      </c>
      <c r="J176" t="str">
        <f t="shared" si="6"/>
        <v>ОК</v>
      </c>
      <c r="K176" t="str">
        <f t="shared" si="7"/>
        <v>ОК</v>
      </c>
      <c r="L176" t="str">
        <f t="shared" si="8"/>
        <v>ОК</v>
      </c>
    </row>
    <row r="177" spans="1:12" ht="85.9" thickBot="1">
      <c r="A177" s="31">
        <v>176</v>
      </c>
      <c r="B177" s="32" t="s">
        <v>417</v>
      </c>
      <c r="C177" s="32">
        <v>209</v>
      </c>
      <c r="D177" s="32" t="s">
        <v>418</v>
      </c>
      <c r="E177" s="32" t="s">
        <v>41</v>
      </c>
      <c r="F177" s="32" t="s">
        <v>30</v>
      </c>
      <c r="G177" s="34" t="s">
        <v>418</v>
      </c>
      <c r="H177" s="34" t="s">
        <v>41</v>
      </c>
      <c r="I177" s="35" t="s">
        <v>30</v>
      </c>
      <c r="J177" t="str">
        <f t="shared" si="6"/>
        <v>ОК</v>
      </c>
      <c r="K177" t="str">
        <f t="shared" si="7"/>
        <v>ОК</v>
      </c>
      <c r="L177" t="str">
        <f t="shared" si="8"/>
        <v>ОК</v>
      </c>
    </row>
    <row r="178" spans="1:12" ht="79.150000000000006" thickBot="1">
      <c r="A178" s="31">
        <v>177</v>
      </c>
      <c r="B178" s="32" t="s">
        <v>419</v>
      </c>
      <c r="C178" s="32">
        <v>209</v>
      </c>
      <c r="D178" s="32" t="s">
        <v>420</v>
      </c>
      <c r="E178" s="32" t="s">
        <v>8</v>
      </c>
      <c r="F178" s="32" t="s">
        <v>421</v>
      </c>
      <c r="G178" s="34" t="s">
        <v>420</v>
      </c>
      <c r="H178" s="34" t="s">
        <v>8</v>
      </c>
      <c r="I178" s="35" t="s">
        <v>421</v>
      </c>
      <c r="J178" t="str">
        <f t="shared" si="6"/>
        <v>ОК</v>
      </c>
      <c r="K178" t="str">
        <f t="shared" si="7"/>
        <v>ОК</v>
      </c>
      <c r="L178" t="str">
        <f t="shared" si="8"/>
        <v>ОК</v>
      </c>
    </row>
    <row r="179" spans="1:12" ht="79.150000000000006" thickBot="1">
      <c r="A179" s="31">
        <v>178</v>
      </c>
      <c r="B179" s="32" t="s">
        <v>422</v>
      </c>
      <c r="C179" s="32">
        <v>209</v>
      </c>
      <c r="D179" s="32" t="s">
        <v>423</v>
      </c>
      <c r="E179" s="32" t="s">
        <v>100</v>
      </c>
      <c r="F179" s="32" t="s">
        <v>30</v>
      </c>
      <c r="G179" s="34" t="s">
        <v>423</v>
      </c>
      <c r="H179" s="34" t="s">
        <v>100</v>
      </c>
      <c r="I179" s="35" t="s">
        <v>30</v>
      </c>
      <c r="J179" t="str">
        <f t="shared" si="6"/>
        <v>ОК</v>
      </c>
      <c r="K179" t="str">
        <f t="shared" si="7"/>
        <v>ОК</v>
      </c>
      <c r="L179" t="str">
        <f t="shared" si="8"/>
        <v>ОК</v>
      </c>
    </row>
    <row r="180" spans="1:12" ht="71.650000000000006" thickBot="1">
      <c r="A180" s="36">
        <v>179</v>
      </c>
      <c r="B180" s="36" t="s">
        <v>424</v>
      </c>
      <c r="C180" s="36">
        <v>209</v>
      </c>
      <c r="D180" s="34" t="s">
        <v>543</v>
      </c>
      <c r="E180" s="36" t="s">
        <v>121</v>
      </c>
      <c r="F180" s="36"/>
      <c r="G180" s="34" t="s">
        <v>543</v>
      </c>
      <c r="H180" s="34" t="s">
        <v>121</v>
      </c>
      <c r="I180" s="35"/>
      <c r="J180" t="str">
        <f t="shared" si="6"/>
        <v>ОК</v>
      </c>
      <c r="K180" t="str">
        <f t="shared" si="7"/>
        <v>ОК</v>
      </c>
      <c r="L180" t="str">
        <f t="shared" si="8"/>
        <v>ОК</v>
      </c>
    </row>
    <row r="181" spans="1:12" ht="71.25">
      <c r="A181" s="36">
        <v>180</v>
      </c>
      <c r="B181" s="36" t="s">
        <v>425</v>
      </c>
      <c r="C181" s="36">
        <v>210</v>
      </c>
      <c r="D181" s="34" t="s">
        <v>544</v>
      </c>
      <c r="E181" s="36" t="s">
        <v>224</v>
      </c>
      <c r="F181" s="36"/>
      <c r="G181" s="34" t="s">
        <v>544</v>
      </c>
      <c r="H181" s="34" t="s">
        <v>224</v>
      </c>
      <c r="I181" s="35"/>
      <c r="J181" t="str">
        <f t="shared" si="6"/>
        <v>ОК</v>
      </c>
      <c r="K181" t="str">
        <f t="shared" si="7"/>
        <v>ОК</v>
      </c>
      <c r="L181" t="str">
        <f t="shared" si="8"/>
        <v>ОК</v>
      </c>
    </row>
    <row r="182" spans="1:12" ht="57.4" thickBot="1">
      <c r="A182" s="31">
        <v>181</v>
      </c>
      <c r="B182" s="32" t="s">
        <v>426</v>
      </c>
      <c r="C182" s="32">
        <v>210</v>
      </c>
      <c r="D182" s="32" t="s">
        <v>427</v>
      </c>
      <c r="E182" s="32" t="s">
        <v>164</v>
      </c>
      <c r="F182" s="32"/>
      <c r="G182" s="34" t="s">
        <v>427</v>
      </c>
      <c r="H182" s="34" t="s">
        <v>164</v>
      </c>
      <c r="I182" s="35"/>
      <c r="J182" t="str">
        <f t="shared" si="6"/>
        <v>ОК</v>
      </c>
      <c r="K182" t="str">
        <f t="shared" si="7"/>
        <v>ОК</v>
      </c>
      <c r="L182" t="str">
        <f t="shared" si="8"/>
        <v>ОК</v>
      </c>
    </row>
    <row r="183" spans="1:12" ht="71.650000000000006" thickBot="1">
      <c r="A183" s="31">
        <v>182</v>
      </c>
      <c r="B183" s="32" t="s">
        <v>428</v>
      </c>
      <c r="C183" s="32">
        <v>210</v>
      </c>
      <c r="D183" s="32" t="s">
        <v>429</v>
      </c>
      <c r="E183" s="32" t="s">
        <v>29</v>
      </c>
      <c r="F183" s="32"/>
      <c r="G183" s="34" t="s">
        <v>429</v>
      </c>
      <c r="H183" s="34" t="s">
        <v>29</v>
      </c>
      <c r="I183" s="35"/>
      <c r="J183" t="str">
        <f t="shared" si="6"/>
        <v>ОК</v>
      </c>
      <c r="K183" t="str">
        <f t="shared" si="7"/>
        <v>ОК</v>
      </c>
      <c r="L183" t="str">
        <f t="shared" si="8"/>
        <v>ОК</v>
      </c>
    </row>
    <row r="184" spans="1:12" ht="157.9" thickBot="1">
      <c r="A184" s="31">
        <v>183</v>
      </c>
      <c r="B184" s="32" t="s">
        <v>430</v>
      </c>
      <c r="C184" s="32">
        <v>210</v>
      </c>
      <c r="D184" s="32" t="s">
        <v>431</v>
      </c>
      <c r="E184" s="32" t="s">
        <v>41</v>
      </c>
      <c r="F184" s="33" t="s">
        <v>60</v>
      </c>
      <c r="G184" s="34" t="s">
        <v>431</v>
      </c>
      <c r="H184" s="34" t="s">
        <v>41</v>
      </c>
      <c r="I184" s="35" t="s">
        <v>540</v>
      </c>
      <c r="J184" t="str">
        <f t="shared" si="6"/>
        <v>ОК</v>
      </c>
      <c r="K184" t="str">
        <f t="shared" si="7"/>
        <v>ОК</v>
      </c>
      <c r="L184" t="str">
        <f t="shared" si="8"/>
        <v>ОК</v>
      </c>
    </row>
    <row r="185" spans="1:12" ht="85.9" thickBot="1">
      <c r="A185" s="31">
        <v>184</v>
      </c>
      <c r="B185" s="32" t="s">
        <v>432</v>
      </c>
      <c r="C185" s="32">
        <v>210</v>
      </c>
      <c r="D185" s="32" t="s">
        <v>433</v>
      </c>
      <c r="E185" s="32" t="s">
        <v>41</v>
      </c>
      <c r="F185" s="32"/>
      <c r="G185" s="34" t="s">
        <v>433</v>
      </c>
      <c r="H185" s="34" t="s">
        <v>41</v>
      </c>
      <c r="I185" s="35"/>
      <c r="J185" t="str">
        <f t="shared" si="6"/>
        <v>ОК</v>
      </c>
      <c r="K185" t="str">
        <f t="shared" si="7"/>
        <v>ОК</v>
      </c>
      <c r="L185" t="str">
        <f t="shared" si="8"/>
        <v>ОК</v>
      </c>
    </row>
    <row r="186" spans="1:12" ht="71.650000000000006" thickBot="1">
      <c r="A186" s="31">
        <v>185</v>
      </c>
      <c r="B186" s="32" t="s">
        <v>434</v>
      </c>
      <c r="C186" s="32">
        <v>210</v>
      </c>
      <c r="D186" s="32" t="s">
        <v>435</v>
      </c>
      <c r="E186" s="32" t="s">
        <v>224</v>
      </c>
      <c r="F186" s="32"/>
      <c r="G186" s="34" t="s">
        <v>435</v>
      </c>
      <c r="H186" s="34" t="s">
        <v>224</v>
      </c>
      <c r="I186" s="35"/>
      <c r="J186" t="str">
        <f t="shared" si="6"/>
        <v>ОК</v>
      </c>
      <c r="K186" t="str">
        <f t="shared" si="7"/>
        <v>ОК</v>
      </c>
      <c r="L186" t="str">
        <f t="shared" si="8"/>
        <v>ОК</v>
      </c>
    </row>
    <row r="187" spans="1:12" ht="85.9" thickBot="1">
      <c r="A187" s="31">
        <v>186</v>
      </c>
      <c r="B187" s="32" t="s">
        <v>436</v>
      </c>
      <c r="C187" s="32">
        <v>210</v>
      </c>
      <c r="D187" s="32" t="s">
        <v>437</v>
      </c>
      <c r="E187" s="32" t="s">
        <v>8</v>
      </c>
      <c r="F187" s="32"/>
      <c r="G187" s="34" t="s">
        <v>437</v>
      </c>
      <c r="H187" s="34" t="s">
        <v>8</v>
      </c>
      <c r="I187" s="35"/>
      <c r="J187" t="str">
        <f t="shared" si="6"/>
        <v>ОК</v>
      </c>
      <c r="K187" t="str">
        <f t="shared" si="7"/>
        <v>ОК</v>
      </c>
      <c r="L187" t="str">
        <f t="shared" si="8"/>
        <v>ОК</v>
      </c>
    </row>
    <row r="188" spans="1:12" ht="57.4" thickBot="1">
      <c r="A188" s="31">
        <v>187</v>
      </c>
      <c r="B188" s="32" t="s">
        <v>438</v>
      </c>
      <c r="C188" s="32">
        <v>210</v>
      </c>
      <c r="D188" s="32" t="s">
        <v>439</v>
      </c>
      <c r="E188" s="32" t="s">
        <v>74</v>
      </c>
      <c r="F188" s="32"/>
      <c r="G188" s="34" t="s">
        <v>439</v>
      </c>
      <c r="H188" s="34" t="s">
        <v>74</v>
      </c>
      <c r="I188" s="35"/>
      <c r="J188" t="str">
        <f t="shared" si="6"/>
        <v>ОК</v>
      </c>
      <c r="K188" t="str">
        <f t="shared" si="7"/>
        <v>ОК</v>
      </c>
      <c r="L188" t="str">
        <f t="shared" si="8"/>
        <v>ОК</v>
      </c>
    </row>
    <row r="189" spans="1:12" ht="85.9" thickBot="1">
      <c r="A189" s="31">
        <v>188</v>
      </c>
      <c r="B189" s="32" t="s">
        <v>440</v>
      </c>
      <c r="C189" s="32">
        <v>210</v>
      </c>
      <c r="D189" s="32" t="s">
        <v>441</v>
      </c>
      <c r="E189" s="32" t="s">
        <v>121</v>
      </c>
      <c r="F189" s="32"/>
      <c r="G189" s="34" t="s">
        <v>441</v>
      </c>
      <c r="H189" s="34" t="s">
        <v>121</v>
      </c>
      <c r="I189" s="35"/>
      <c r="J189" t="str">
        <f t="shared" si="6"/>
        <v>ОК</v>
      </c>
      <c r="K189" t="str">
        <f t="shared" si="7"/>
        <v>ОК</v>
      </c>
      <c r="L189" t="str">
        <f t="shared" si="8"/>
        <v>ОК</v>
      </c>
    </row>
    <row r="190" spans="1:12" ht="71.650000000000006" thickBot="1">
      <c r="A190" s="31">
        <v>189</v>
      </c>
      <c r="B190" s="32" t="s">
        <v>442</v>
      </c>
      <c r="C190" s="32">
        <v>210</v>
      </c>
      <c r="D190" s="32" t="s">
        <v>443</v>
      </c>
      <c r="E190" s="32" t="s">
        <v>299</v>
      </c>
      <c r="F190" s="32"/>
      <c r="G190" s="34" t="s">
        <v>443</v>
      </c>
      <c r="H190" s="34" t="s">
        <v>299</v>
      </c>
      <c r="I190" s="35"/>
      <c r="J190" t="str">
        <f t="shared" si="6"/>
        <v>ОК</v>
      </c>
      <c r="K190" t="str">
        <f t="shared" si="7"/>
        <v>ОК</v>
      </c>
      <c r="L190" t="str">
        <f t="shared" si="8"/>
        <v>ОК</v>
      </c>
    </row>
    <row r="191" spans="1:12" ht="71.650000000000006" thickBot="1">
      <c r="A191" s="31">
        <v>190</v>
      </c>
      <c r="B191" s="32" t="s">
        <v>444</v>
      </c>
      <c r="C191" s="32">
        <v>211</v>
      </c>
      <c r="D191" s="32" t="s">
        <v>445</v>
      </c>
      <c r="E191" s="32" t="s">
        <v>299</v>
      </c>
      <c r="F191" s="32"/>
      <c r="G191" s="34" t="s">
        <v>445</v>
      </c>
      <c r="H191" s="34" t="s">
        <v>299</v>
      </c>
      <c r="I191" s="35"/>
      <c r="J191" t="str">
        <f t="shared" si="6"/>
        <v>ОК</v>
      </c>
      <c r="K191" t="str">
        <f t="shared" si="7"/>
        <v>ОК</v>
      </c>
      <c r="L191" t="str">
        <f t="shared" si="8"/>
        <v>ОК</v>
      </c>
    </row>
    <row r="192" spans="1:12" ht="85.9" thickBot="1">
      <c r="A192" s="31">
        <v>191</v>
      </c>
      <c r="B192" s="32" t="s">
        <v>446</v>
      </c>
      <c r="C192" s="32">
        <v>211</v>
      </c>
      <c r="D192" s="32" t="s">
        <v>447</v>
      </c>
      <c r="E192" s="32" t="s">
        <v>266</v>
      </c>
      <c r="F192" s="32"/>
      <c r="G192" s="34" t="s">
        <v>447</v>
      </c>
      <c r="H192" s="34" t="s">
        <v>266</v>
      </c>
      <c r="I192" s="35"/>
      <c r="J192" t="str">
        <f t="shared" si="6"/>
        <v>ОК</v>
      </c>
      <c r="K192" t="str">
        <f t="shared" si="7"/>
        <v>ОК</v>
      </c>
      <c r="L192" t="str">
        <f t="shared" si="8"/>
        <v>ОК</v>
      </c>
    </row>
    <row r="193" spans="1:12" ht="57.4" thickBot="1">
      <c r="A193" s="31">
        <v>192</v>
      </c>
      <c r="B193" s="32" t="s">
        <v>448</v>
      </c>
      <c r="C193" s="32">
        <v>211</v>
      </c>
      <c r="D193" s="32" t="s">
        <v>449</v>
      </c>
      <c r="E193" s="32" t="s">
        <v>74</v>
      </c>
      <c r="F193" s="32"/>
      <c r="G193" s="34" t="s">
        <v>449</v>
      </c>
      <c r="H193" s="34" t="s">
        <v>74</v>
      </c>
      <c r="I193" s="35"/>
      <c r="J193" t="str">
        <f t="shared" si="6"/>
        <v>ОК</v>
      </c>
      <c r="K193" t="str">
        <f t="shared" si="7"/>
        <v>ОК</v>
      </c>
      <c r="L193" t="str">
        <f t="shared" si="8"/>
        <v>ОК</v>
      </c>
    </row>
    <row r="194" spans="1:12" ht="85.9" thickBot="1">
      <c r="A194" s="31">
        <v>193</v>
      </c>
      <c r="B194" s="32" t="s">
        <v>450</v>
      </c>
      <c r="C194" s="32">
        <v>211</v>
      </c>
      <c r="D194" s="32" t="s">
        <v>451</v>
      </c>
      <c r="E194" s="32" t="s">
        <v>266</v>
      </c>
      <c r="F194" s="32"/>
      <c r="G194" s="34" t="s">
        <v>451</v>
      </c>
      <c r="H194" s="34" t="s">
        <v>266</v>
      </c>
      <c r="I194" s="35"/>
      <c r="J194" t="str">
        <f t="shared" ref="J194:J234" si="9">IF(D194=G194,"ОК","Несоответствие")</f>
        <v>ОК</v>
      </c>
      <c r="K194" t="str">
        <f t="shared" ref="K194:K234" si="10">IF(E194=H194,"ОК","Несоответствие")</f>
        <v>ОК</v>
      </c>
      <c r="L194" t="str">
        <f t="shared" ref="L194:L234" si="11">IF(F194=I194,"ОК","Несоответствие")</f>
        <v>ОК</v>
      </c>
    </row>
    <row r="195" spans="1:12" ht="71.650000000000006" thickBot="1">
      <c r="A195" s="31">
        <v>194</v>
      </c>
      <c r="B195" s="32" t="s">
        <v>452</v>
      </c>
      <c r="C195" s="32">
        <v>211</v>
      </c>
      <c r="D195" s="32" t="s">
        <v>453</v>
      </c>
      <c r="E195" s="32" t="s">
        <v>29</v>
      </c>
      <c r="F195" s="32" t="s">
        <v>454</v>
      </c>
      <c r="G195" s="34" t="s">
        <v>453</v>
      </c>
      <c r="H195" s="34" t="s">
        <v>29</v>
      </c>
      <c r="I195" s="35" t="s">
        <v>454</v>
      </c>
      <c r="J195" t="str">
        <f t="shared" si="9"/>
        <v>ОК</v>
      </c>
      <c r="K195" t="str">
        <f t="shared" si="10"/>
        <v>ОК</v>
      </c>
      <c r="L195" t="str">
        <f t="shared" si="11"/>
        <v>ОК</v>
      </c>
    </row>
    <row r="196" spans="1:12" ht="85.9" thickBot="1">
      <c r="A196" s="31">
        <v>195</v>
      </c>
      <c r="B196" s="32" t="s">
        <v>455</v>
      </c>
      <c r="C196" s="32">
        <v>211</v>
      </c>
      <c r="D196" s="32" t="s">
        <v>456</v>
      </c>
      <c r="E196" s="32" t="s">
        <v>41</v>
      </c>
      <c r="F196" s="32"/>
      <c r="G196" s="34" t="s">
        <v>456</v>
      </c>
      <c r="H196" s="34" t="s">
        <v>41</v>
      </c>
      <c r="I196" s="35"/>
      <c r="J196" t="str">
        <f t="shared" si="9"/>
        <v>ОК</v>
      </c>
      <c r="K196" t="str">
        <f t="shared" si="10"/>
        <v>ОК</v>
      </c>
      <c r="L196" t="str">
        <f t="shared" si="11"/>
        <v>ОК</v>
      </c>
    </row>
    <row r="197" spans="1:12" ht="71.650000000000006" thickBot="1">
      <c r="A197" s="31">
        <v>196</v>
      </c>
      <c r="B197" s="32" t="s">
        <v>457</v>
      </c>
      <c r="C197" s="32">
        <v>211</v>
      </c>
      <c r="D197" s="32" t="s">
        <v>458</v>
      </c>
      <c r="E197" s="32" t="s">
        <v>341</v>
      </c>
      <c r="F197" s="32"/>
      <c r="G197" s="34" t="s">
        <v>458</v>
      </c>
      <c r="H197" s="34" t="s">
        <v>341</v>
      </c>
      <c r="I197" s="35"/>
      <c r="J197" t="str">
        <f t="shared" si="9"/>
        <v>ОК</v>
      </c>
      <c r="K197" t="str">
        <f t="shared" si="10"/>
        <v>ОК</v>
      </c>
      <c r="L197" t="str">
        <f t="shared" si="11"/>
        <v>ОК</v>
      </c>
    </row>
    <row r="198" spans="1:12" ht="114.4" thickBot="1">
      <c r="A198" s="31">
        <v>197</v>
      </c>
      <c r="B198" s="32" t="s">
        <v>459</v>
      </c>
      <c r="C198" s="32">
        <v>211</v>
      </c>
      <c r="D198" s="32" t="s">
        <v>460</v>
      </c>
      <c r="E198" s="32" t="s">
        <v>121</v>
      </c>
      <c r="F198" s="32"/>
      <c r="G198" s="34" t="s">
        <v>460</v>
      </c>
      <c r="H198" s="34" t="s">
        <v>121</v>
      </c>
      <c r="I198" s="35"/>
      <c r="J198" t="str">
        <f t="shared" si="9"/>
        <v>ОК</v>
      </c>
      <c r="K198" t="str">
        <f t="shared" si="10"/>
        <v>ОК</v>
      </c>
      <c r="L198" t="str">
        <f t="shared" si="11"/>
        <v>ОК</v>
      </c>
    </row>
    <row r="199" spans="1:12" ht="100.15" thickBot="1">
      <c r="A199" s="31">
        <v>198</v>
      </c>
      <c r="B199" s="32" t="s">
        <v>461</v>
      </c>
      <c r="C199" s="32">
        <v>211</v>
      </c>
      <c r="D199" s="32" t="s">
        <v>462</v>
      </c>
      <c r="E199" s="32" t="s">
        <v>233</v>
      </c>
      <c r="F199" s="32"/>
      <c r="G199" s="34" t="s">
        <v>462</v>
      </c>
      <c r="H199" s="34" t="s">
        <v>233</v>
      </c>
      <c r="I199" s="35"/>
      <c r="J199" t="str">
        <f t="shared" si="9"/>
        <v>ОК</v>
      </c>
      <c r="K199" t="str">
        <f t="shared" si="10"/>
        <v>ОК</v>
      </c>
      <c r="L199" t="str">
        <f t="shared" si="11"/>
        <v>ОК</v>
      </c>
    </row>
    <row r="200" spans="1:12" ht="71.650000000000006" thickBot="1">
      <c r="A200" s="31">
        <v>199</v>
      </c>
      <c r="B200" s="32" t="s">
        <v>463</v>
      </c>
      <c r="C200" s="32">
        <v>211</v>
      </c>
      <c r="D200" s="32" t="s">
        <v>464</v>
      </c>
      <c r="E200" s="32" t="s">
        <v>164</v>
      </c>
      <c r="F200" s="32"/>
      <c r="G200" s="34" t="s">
        <v>464</v>
      </c>
      <c r="H200" s="34" t="s">
        <v>164</v>
      </c>
      <c r="I200" s="35"/>
      <c r="J200" t="str">
        <f t="shared" si="9"/>
        <v>ОК</v>
      </c>
      <c r="K200" t="str">
        <f t="shared" si="10"/>
        <v>ОК</v>
      </c>
      <c r="L200" t="str">
        <f t="shared" si="11"/>
        <v>ОК</v>
      </c>
    </row>
    <row r="201" spans="1:12" ht="157.15" thickBot="1">
      <c r="A201" s="31">
        <v>200</v>
      </c>
      <c r="B201" s="32" t="s">
        <v>465</v>
      </c>
      <c r="C201" s="32">
        <v>211</v>
      </c>
      <c r="D201" s="32" t="s">
        <v>466</v>
      </c>
      <c r="E201" s="32" t="s">
        <v>8</v>
      </c>
      <c r="F201" s="32"/>
      <c r="G201" s="34" t="s">
        <v>466</v>
      </c>
      <c r="H201" s="34" t="s">
        <v>8</v>
      </c>
      <c r="I201" s="35"/>
      <c r="J201" t="str">
        <f t="shared" si="9"/>
        <v>ОК</v>
      </c>
      <c r="K201" t="str">
        <f t="shared" si="10"/>
        <v>ОК</v>
      </c>
      <c r="L201" t="str">
        <f t="shared" si="11"/>
        <v>ОК</v>
      </c>
    </row>
    <row r="202" spans="1:12" ht="57.4" thickBot="1">
      <c r="A202" s="31">
        <v>201</v>
      </c>
      <c r="B202" s="32" t="s">
        <v>467</v>
      </c>
      <c r="C202" s="32">
        <v>211</v>
      </c>
      <c r="D202" s="32" t="s">
        <v>468</v>
      </c>
      <c r="E202" s="32" t="s">
        <v>74</v>
      </c>
      <c r="F202" s="32"/>
      <c r="G202" s="34" t="s">
        <v>468</v>
      </c>
      <c r="H202" s="34" t="s">
        <v>74</v>
      </c>
      <c r="I202" s="35"/>
      <c r="J202" t="str">
        <f t="shared" si="9"/>
        <v>ОК</v>
      </c>
      <c r="K202" t="str">
        <f t="shared" si="10"/>
        <v>ОК</v>
      </c>
      <c r="L202" t="str">
        <f t="shared" si="11"/>
        <v>ОК</v>
      </c>
    </row>
    <row r="203" spans="1:12" ht="57.4" thickBot="1">
      <c r="A203" s="31">
        <v>202</v>
      </c>
      <c r="B203" s="32" t="s">
        <v>469</v>
      </c>
      <c r="C203" s="32">
        <v>211</v>
      </c>
      <c r="D203" s="32" t="s">
        <v>470</v>
      </c>
      <c r="E203" s="32" t="s">
        <v>106</v>
      </c>
      <c r="F203" s="32"/>
      <c r="G203" s="34" t="s">
        <v>470</v>
      </c>
      <c r="H203" s="34" t="s">
        <v>106</v>
      </c>
      <c r="I203" s="35"/>
      <c r="J203" t="str">
        <f t="shared" si="9"/>
        <v>ОК</v>
      </c>
      <c r="K203" t="str">
        <f t="shared" si="10"/>
        <v>ОК</v>
      </c>
      <c r="L203" t="str">
        <f t="shared" si="11"/>
        <v>ОК</v>
      </c>
    </row>
    <row r="204" spans="1:12" ht="85.9" thickBot="1">
      <c r="A204" s="31">
        <v>203</v>
      </c>
      <c r="B204" s="32" t="s">
        <v>471</v>
      </c>
      <c r="C204" s="32">
        <v>214</v>
      </c>
      <c r="D204" s="32" t="s">
        <v>472</v>
      </c>
      <c r="E204" s="32" t="s">
        <v>8</v>
      </c>
      <c r="F204" s="32" t="s">
        <v>473</v>
      </c>
      <c r="G204" s="34" t="s">
        <v>472</v>
      </c>
      <c r="H204" s="34" t="s">
        <v>8</v>
      </c>
      <c r="I204" s="35" t="s">
        <v>473</v>
      </c>
      <c r="J204" t="str">
        <f t="shared" si="9"/>
        <v>ОК</v>
      </c>
      <c r="K204" t="str">
        <f t="shared" si="10"/>
        <v>ОК</v>
      </c>
      <c r="L204" t="str">
        <f t="shared" si="11"/>
        <v>ОК</v>
      </c>
    </row>
    <row r="205" spans="1:12" ht="71.650000000000006" thickBot="1">
      <c r="A205" s="31">
        <v>204</v>
      </c>
      <c r="B205" s="32" t="s">
        <v>474</v>
      </c>
      <c r="C205" s="32">
        <v>214</v>
      </c>
      <c r="D205" s="32" t="s">
        <v>475</v>
      </c>
      <c r="E205" s="32" t="s">
        <v>41</v>
      </c>
      <c r="F205" s="32"/>
      <c r="G205" s="34" t="s">
        <v>475</v>
      </c>
      <c r="H205" s="34" t="s">
        <v>41</v>
      </c>
      <c r="I205" s="35"/>
      <c r="J205" t="str">
        <f t="shared" si="9"/>
        <v>ОК</v>
      </c>
      <c r="K205" t="str">
        <f t="shared" si="10"/>
        <v>ОК</v>
      </c>
      <c r="L205" t="str">
        <f t="shared" si="11"/>
        <v>ОК</v>
      </c>
    </row>
    <row r="206" spans="1:12" ht="71.650000000000006" thickBot="1">
      <c r="A206" s="31">
        <v>205</v>
      </c>
      <c r="B206" s="32" t="s">
        <v>476</v>
      </c>
      <c r="C206" s="32">
        <v>214</v>
      </c>
      <c r="D206" s="32" t="s">
        <v>477</v>
      </c>
      <c r="E206" s="32" t="s">
        <v>29</v>
      </c>
      <c r="F206" s="32"/>
      <c r="G206" s="34" t="s">
        <v>477</v>
      </c>
      <c r="H206" s="34" t="s">
        <v>29</v>
      </c>
      <c r="I206" s="35"/>
      <c r="J206" t="str">
        <f t="shared" si="9"/>
        <v>ОК</v>
      </c>
      <c r="K206" t="str">
        <f t="shared" si="10"/>
        <v>ОК</v>
      </c>
      <c r="L206" t="str">
        <f t="shared" si="11"/>
        <v>ОК</v>
      </c>
    </row>
    <row r="207" spans="1:12" ht="85.9" thickBot="1">
      <c r="A207" s="31">
        <v>206</v>
      </c>
      <c r="B207" s="32" t="s">
        <v>478</v>
      </c>
      <c r="C207" s="32">
        <v>214</v>
      </c>
      <c r="D207" s="32" t="s">
        <v>479</v>
      </c>
      <c r="E207" s="32" t="s">
        <v>121</v>
      </c>
      <c r="F207" s="32"/>
      <c r="G207" s="34" t="s">
        <v>479</v>
      </c>
      <c r="H207" s="34" t="s">
        <v>121</v>
      </c>
      <c r="I207" s="35"/>
      <c r="J207" t="str">
        <f t="shared" si="9"/>
        <v>ОК</v>
      </c>
      <c r="K207" t="str">
        <f t="shared" si="10"/>
        <v>ОК</v>
      </c>
      <c r="L207" t="str">
        <f t="shared" si="11"/>
        <v>ОК</v>
      </c>
    </row>
    <row r="208" spans="1:12" ht="85.9" thickBot="1">
      <c r="A208" s="31">
        <v>207</v>
      </c>
      <c r="B208" s="32" t="s">
        <v>480</v>
      </c>
      <c r="C208" s="32">
        <v>214</v>
      </c>
      <c r="D208" s="32" t="s">
        <v>481</v>
      </c>
      <c r="E208" s="32" t="s">
        <v>482</v>
      </c>
      <c r="F208" s="32"/>
      <c r="G208" s="34" t="s">
        <v>481</v>
      </c>
      <c r="H208" s="34" t="s">
        <v>482</v>
      </c>
      <c r="I208" s="35"/>
      <c r="J208" t="str">
        <f t="shared" si="9"/>
        <v>ОК</v>
      </c>
      <c r="K208" t="str">
        <f t="shared" si="10"/>
        <v>ОК</v>
      </c>
      <c r="L208" t="str">
        <f t="shared" si="11"/>
        <v>ОК</v>
      </c>
    </row>
    <row r="209" spans="1:12" ht="71.650000000000006" thickBot="1">
      <c r="A209" s="31">
        <v>208</v>
      </c>
      <c r="B209" s="32" t="s">
        <v>483</v>
      </c>
      <c r="C209" s="32">
        <v>214</v>
      </c>
      <c r="D209" s="32" t="s">
        <v>484</v>
      </c>
      <c r="E209" s="32" t="s">
        <v>29</v>
      </c>
      <c r="F209" s="32"/>
      <c r="G209" s="34" t="s">
        <v>484</v>
      </c>
      <c r="H209" s="34" t="s">
        <v>29</v>
      </c>
      <c r="I209" s="35"/>
      <c r="J209" t="str">
        <f t="shared" si="9"/>
        <v>ОК</v>
      </c>
      <c r="K209" t="str">
        <f t="shared" si="10"/>
        <v>ОК</v>
      </c>
      <c r="L209" t="str">
        <f t="shared" si="11"/>
        <v>ОК</v>
      </c>
    </row>
    <row r="210" spans="1:12" ht="71.650000000000006" thickBot="1">
      <c r="A210" s="31">
        <v>209</v>
      </c>
      <c r="B210" s="32" t="s">
        <v>485</v>
      </c>
      <c r="C210" s="32">
        <v>214</v>
      </c>
      <c r="D210" s="32" t="s">
        <v>486</v>
      </c>
      <c r="E210" s="32" t="s">
        <v>41</v>
      </c>
      <c r="F210" s="32"/>
      <c r="G210" s="34" t="s">
        <v>486</v>
      </c>
      <c r="H210" s="34" t="s">
        <v>41</v>
      </c>
      <c r="I210" s="35"/>
      <c r="J210" t="str">
        <f t="shared" si="9"/>
        <v>ОК</v>
      </c>
      <c r="K210" t="str">
        <f t="shared" si="10"/>
        <v>ОК</v>
      </c>
      <c r="L210" t="str">
        <f t="shared" si="11"/>
        <v>ОК</v>
      </c>
    </row>
    <row r="211" spans="1:12" ht="85.9" thickBot="1">
      <c r="A211" s="31">
        <v>210</v>
      </c>
      <c r="B211" s="32" t="s">
        <v>487</v>
      </c>
      <c r="C211" s="32">
        <v>214</v>
      </c>
      <c r="D211" s="32" t="s">
        <v>488</v>
      </c>
      <c r="E211" s="32" t="s">
        <v>266</v>
      </c>
      <c r="F211" s="32"/>
      <c r="G211" s="34" t="s">
        <v>488</v>
      </c>
      <c r="H211" s="34" t="s">
        <v>266</v>
      </c>
      <c r="I211" s="35"/>
      <c r="J211" t="str">
        <f t="shared" si="9"/>
        <v>ОК</v>
      </c>
      <c r="K211" t="str">
        <f t="shared" si="10"/>
        <v>ОК</v>
      </c>
      <c r="L211" t="str">
        <f t="shared" si="11"/>
        <v>ОК</v>
      </c>
    </row>
    <row r="212" spans="1:12" ht="79.150000000000006" thickBot="1">
      <c r="A212" s="31">
        <v>211</v>
      </c>
      <c r="B212" s="32" t="s">
        <v>489</v>
      </c>
      <c r="C212" s="32">
        <v>214</v>
      </c>
      <c r="D212" s="32" t="s">
        <v>490</v>
      </c>
      <c r="E212" s="32" t="s">
        <v>38</v>
      </c>
      <c r="F212" s="32" t="s">
        <v>143</v>
      </c>
      <c r="G212" s="34" t="s">
        <v>490</v>
      </c>
      <c r="H212" s="34" t="s">
        <v>38</v>
      </c>
      <c r="I212" s="35" t="s">
        <v>143</v>
      </c>
      <c r="J212" t="str">
        <f t="shared" si="9"/>
        <v>ОК</v>
      </c>
      <c r="K212" t="str">
        <f t="shared" si="10"/>
        <v>ОК</v>
      </c>
      <c r="L212" t="str">
        <f t="shared" si="11"/>
        <v>ОК</v>
      </c>
    </row>
    <row r="213" spans="1:12" ht="100.15" thickBot="1">
      <c r="A213" s="31">
        <v>212</v>
      </c>
      <c r="B213" s="32" t="s">
        <v>491</v>
      </c>
      <c r="C213" s="32">
        <v>214</v>
      </c>
      <c r="D213" s="32" t="s">
        <v>492</v>
      </c>
      <c r="E213" s="32" t="s">
        <v>404</v>
      </c>
      <c r="F213" s="32"/>
      <c r="G213" s="34" t="s">
        <v>492</v>
      </c>
      <c r="H213" s="34" t="s">
        <v>404</v>
      </c>
      <c r="I213" s="35"/>
      <c r="J213" t="str">
        <f t="shared" si="9"/>
        <v>ОК</v>
      </c>
      <c r="K213" t="str">
        <f t="shared" si="10"/>
        <v>ОК</v>
      </c>
      <c r="L213" t="str">
        <f t="shared" si="11"/>
        <v>ОК</v>
      </c>
    </row>
    <row r="214" spans="1:12" ht="114.4" thickBot="1">
      <c r="A214" s="31">
        <v>213</v>
      </c>
      <c r="B214" s="32" t="s">
        <v>493</v>
      </c>
      <c r="C214" s="32">
        <v>214</v>
      </c>
      <c r="D214" s="32" t="s">
        <v>494</v>
      </c>
      <c r="E214" s="32" t="s">
        <v>121</v>
      </c>
      <c r="F214" s="32"/>
      <c r="G214" s="34" t="s">
        <v>494</v>
      </c>
      <c r="H214" s="34" t="s">
        <v>121</v>
      </c>
      <c r="I214" s="35"/>
      <c r="J214" t="str">
        <f t="shared" si="9"/>
        <v>ОК</v>
      </c>
      <c r="K214" t="str">
        <f t="shared" si="10"/>
        <v>ОК</v>
      </c>
      <c r="L214" t="str">
        <f t="shared" si="11"/>
        <v>ОК</v>
      </c>
    </row>
    <row r="215" spans="1:12" ht="71.650000000000006" thickBot="1">
      <c r="A215" s="31">
        <v>214</v>
      </c>
      <c r="B215" s="32" t="s">
        <v>495</v>
      </c>
      <c r="C215" s="32">
        <v>214</v>
      </c>
      <c r="D215" s="32" t="s">
        <v>496</v>
      </c>
      <c r="E215" s="32" t="s">
        <v>497</v>
      </c>
      <c r="F215" s="32"/>
      <c r="G215" s="34" t="s">
        <v>496</v>
      </c>
      <c r="H215" s="34" t="s">
        <v>497</v>
      </c>
      <c r="I215" s="35"/>
      <c r="J215" t="str">
        <f t="shared" si="9"/>
        <v>ОК</v>
      </c>
      <c r="K215" t="str">
        <f t="shared" si="10"/>
        <v>ОК</v>
      </c>
      <c r="L215" t="str">
        <f t="shared" si="11"/>
        <v>ОК</v>
      </c>
    </row>
    <row r="216" spans="1:12" ht="71.650000000000006" thickBot="1">
      <c r="A216" s="31">
        <v>215</v>
      </c>
      <c r="B216" s="32" t="s">
        <v>498</v>
      </c>
      <c r="C216" s="32">
        <v>214</v>
      </c>
      <c r="D216" s="32" t="s">
        <v>499</v>
      </c>
      <c r="E216" s="32" t="s">
        <v>41</v>
      </c>
      <c r="F216" s="32"/>
      <c r="G216" s="34" t="s">
        <v>499</v>
      </c>
      <c r="H216" s="34" t="s">
        <v>41</v>
      </c>
      <c r="I216" s="35"/>
      <c r="J216" t="str">
        <f t="shared" si="9"/>
        <v>ОК</v>
      </c>
      <c r="K216" t="str">
        <f t="shared" si="10"/>
        <v>ОК</v>
      </c>
      <c r="L216" t="str">
        <f t="shared" si="11"/>
        <v>ОК</v>
      </c>
    </row>
    <row r="217" spans="1:12" ht="85.9" thickBot="1">
      <c r="A217" s="31">
        <v>216</v>
      </c>
      <c r="B217" s="32" t="s">
        <v>500</v>
      </c>
      <c r="C217" s="32">
        <v>214</v>
      </c>
      <c r="D217" s="32" t="s">
        <v>501</v>
      </c>
      <c r="E217" s="32" t="s">
        <v>8</v>
      </c>
      <c r="F217" s="32"/>
      <c r="G217" s="34" t="s">
        <v>501</v>
      </c>
      <c r="H217" s="34" t="s">
        <v>8</v>
      </c>
      <c r="I217" s="35"/>
      <c r="J217" t="str">
        <f t="shared" si="9"/>
        <v>ОК</v>
      </c>
      <c r="K217" t="str">
        <f t="shared" si="10"/>
        <v>ОК</v>
      </c>
      <c r="L217" t="str">
        <f t="shared" si="11"/>
        <v>ОК</v>
      </c>
    </row>
    <row r="218" spans="1:12" ht="71.650000000000006" thickBot="1">
      <c r="A218" s="31">
        <v>217</v>
      </c>
      <c r="B218" s="32" t="s">
        <v>502</v>
      </c>
      <c r="C218" s="32">
        <v>214</v>
      </c>
      <c r="D218" s="32" t="s">
        <v>503</v>
      </c>
      <c r="E218" s="32" t="s">
        <v>341</v>
      </c>
      <c r="F218" s="32"/>
      <c r="G218" s="34" t="s">
        <v>503</v>
      </c>
      <c r="H218" s="34" t="s">
        <v>341</v>
      </c>
      <c r="I218" s="35"/>
      <c r="J218" t="str">
        <f t="shared" si="9"/>
        <v>ОК</v>
      </c>
      <c r="K218" t="str">
        <f t="shared" si="10"/>
        <v>ОК</v>
      </c>
      <c r="L218" t="str">
        <f t="shared" si="11"/>
        <v>ОК</v>
      </c>
    </row>
    <row r="219" spans="1:12" ht="57.4" thickBot="1">
      <c r="A219" s="31">
        <v>218</v>
      </c>
      <c r="B219" s="32" t="s">
        <v>504</v>
      </c>
      <c r="C219" s="32">
        <v>214</v>
      </c>
      <c r="D219" s="32" t="s">
        <v>505</v>
      </c>
      <c r="E219" s="32" t="s">
        <v>506</v>
      </c>
      <c r="F219" s="32"/>
      <c r="G219" s="34" t="s">
        <v>505</v>
      </c>
      <c r="H219" s="34" t="s">
        <v>506</v>
      </c>
      <c r="I219" s="35"/>
      <c r="J219" t="str">
        <f t="shared" si="9"/>
        <v>ОК</v>
      </c>
      <c r="K219" t="str">
        <f t="shared" si="10"/>
        <v>ОК</v>
      </c>
      <c r="L219" t="str">
        <f t="shared" si="11"/>
        <v>ОК</v>
      </c>
    </row>
    <row r="220" spans="1:12" ht="100.15" thickBot="1">
      <c r="A220" s="31">
        <v>219</v>
      </c>
      <c r="B220" s="32" t="s">
        <v>507</v>
      </c>
      <c r="C220" s="32">
        <v>101</v>
      </c>
      <c r="D220" s="32" t="s">
        <v>508</v>
      </c>
      <c r="E220" s="32" t="s">
        <v>341</v>
      </c>
      <c r="F220" s="32"/>
      <c r="G220" s="34" t="s">
        <v>508</v>
      </c>
      <c r="H220" s="34" t="s">
        <v>341</v>
      </c>
      <c r="I220" s="35"/>
      <c r="J220" t="str">
        <f t="shared" si="9"/>
        <v>ОК</v>
      </c>
      <c r="K220" t="str">
        <f t="shared" si="10"/>
        <v>ОК</v>
      </c>
      <c r="L220" t="str">
        <f t="shared" si="11"/>
        <v>ОК</v>
      </c>
    </row>
    <row r="221" spans="1:12" ht="85.9" thickBot="1">
      <c r="A221" s="31">
        <v>220</v>
      </c>
      <c r="B221" s="32" t="s">
        <v>509</v>
      </c>
      <c r="C221" s="32">
        <v>101</v>
      </c>
      <c r="D221" s="32" t="s">
        <v>510</v>
      </c>
      <c r="E221" s="32" t="s">
        <v>121</v>
      </c>
      <c r="F221" s="32"/>
      <c r="G221" s="34" t="s">
        <v>510</v>
      </c>
      <c r="H221" s="34" t="s">
        <v>121</v>
      </c>
      <c r="I221" s="35"/>
      <c r="J221" t="str">
        <f t="shared" si="9"/>
        <v>ОК</v>
      </c>
      <c r="K221" t="str">
        <f t="shared" si="10"/>
        <v>ОК</v>
      </c>
      <c r="L221" t="str">
        <f t="shared" si="11"/>
        <v>ОК</v>
      </c>
    </row>
    <row r="222" spans="1:12" ht="71.650000000000006" thickBot="1">
      <c r="A222" s="31">
        <v>221</v>
      </c>
      <c r="B222" s="32" t="s">
        <v>511</v>
      </c>
      <c r="C222" s="32">
        <v>101</v>
      </c>
      <c r="D222" s="32" t="s">
        <v>512</v>
      </c>
      <c r="E222" s="32" t="s">
        <v>41</v>
      </c>
      <c r="F222" s="32"/>
      <c r="G222" s="34" t="s">
        <v>512</v>
      </c>
      <c r="H222" s="34" t="s">
        <v>41</v>
      </c>
      <c r="I222" s="35"/>
      <c r="J222" t="str">
        <f t="shared" si="9"/>
        <v>ОК</v>
      </c>
      <c r="K222" t="str">
        <f t="shared" si="10"/>
        <v>ОК</v>
      </c>
      <c r="L222" t="str">
        <f t="shared" si="11"/>
        <v>ОК</v>
      </c>
    </row>
    <row r="223" spans="1:12" ht="57.4" thickBot="1">
      <c r="A223" s="31">
        <v>222</v>
      </c>
      <c r="B223" s="32" t="s">
        <v>513</v>
      </c>
      <c r="C223" s="32">
        <v>101</v>
      </c>
      <c r="D223" s="32" t="s">
        <v>514</v>
      </c>
      <c r="E223" s="32" t="s">
        <v>8</v>
      </c>
      <c r="F223" s="32"/>
      <c r="G223" s="34" t="s">
        <v>514</v>
      </c>
      <c r="H223" s="34" t="s">
        <v>8</v>
      </c>
      <c r="I223" s="35"/>
      <c r="J223" t="str">
        <f t="shared" si="9"/>
        <v>ОК</v>
      </c>
      <c r="K223" t="str">
        <f t="shared" si="10"/>
        <v>ОК</v>
      </c>
      <c r="L223" t="str">
        <f t="shared" si="11"/>
        <v>ОК</v>
      </c>
    </row>
    <row r="224" spans="1:12" ht="71.650000000000006" thickBot="1">
      <c r="A224" s="31">
        <v>223</v>
      </c>
      <c r="B224" s="32" t="s">
        <v>515</v>
      </c>
      <c r="C224" s="32">
        <v>101</v>
      </c>
      <c r="D224" s="32" t="s">
        <v>516</v>
      </c>
      <c r="E224" s="32" t="s">
        <v>233</v>
      </c>
      <c r="F224" s="32"/>
      <c r="G224" s="34" t="s">
        <v>516</v>
      </c>
      <c r="H224" s="34" t="s">
        <v>233</v>
      </c>
      <c r="I224" s="35"/>
      <c r="J224" t="str">
        <f t="shared" si="9"/>
        <v>ОК</v>
      </c>
      <c r="K224" t="str">
        <f t="shared" si="10"/>
        <v>ОК</v>
      </c>
      <c r="L224" t="str">
        <f t="shared" si="11"/>
        <v>ОК</v>
      </c>
    </row>
    <row r="225" spans="1:12" ht="85.9" thickBot="1">
      <c r="A225" s="31">
        <v>224</v>
      </c>
      <c r="B225" s="32" t="s">
        <v>517</v>
      </c>
      <c r="C225" s="32">
        <v>101</v>
      </c>
      <c r="D225" s="32" t="s">
        <v>518</v>
      </c>
      <c r="E225" s="32" t="s">
        <v>41</v>
      </c>
      <c r="F225" s="32"/>
      <c r="G225" s="34" t="s">
        <v>518</v>
      </c>
      <c r="H225" s="34" t="s">
        <v>41</v>
      </c>
      <c r="I225" s="35"/>
      <c r="J225" t="str">
        <f t="shared" si="9"/>
        <v>ОК</v>
      </c>
      <c r="K225" t="str">
        <f t="shared" si="10"/>
        <v>ОК</v>
      </c>
      <c r="L225" t="str">
        <f t="shared" si="11"/>
        <v>ОК</v>
      </c>
    </row>
    <row r="226" spans="1:12" ht="71.650000000000006" thickBot="1">
      <c r="A226" s="31">
        <v>225</v>
      </c>
      <c r="B226" s="32" t="s">
        <v>519</v>
      </c>
      <c r="C226" s="32">
        <v>101</v>
      </c>
      <c r="D226" s="32" t="s">
        <v>520</v>
      </c>
      <c r="E226" s="32" t="s">
        <v>121</v>
      </c>
      <c r="F226" s="32"/>
      <c r="G226" s="34" t="s">
        <v>520</v>
      </c>
      <c r="H226" s="34" t="s">
        <v>121</v>
      </c>
      <c r="I226" s="35"/>
      <c r="J226" t="str">
        <f t="shared" si="9"/>
        <v>ОК</v>
      </c>
      <c r="K226" t="str">
        <f t="shared" si="10"/>
        <v>ОК</v>
      </c>
      <c r="L226" t="str">
        <f t="shared" si="11"/>
        <v>ОК</v>
      </c>
    </row>
    <row r="227" spans="1:12" ht="71.650000000000006" thickBot="1">
      <c r="A227" s="31">
        <v>226</v>
      </c>
      <c r="B227" s="32" t="s">
        <v>521</v>
      </c>
      <c r="C227" s="32">
        <v>101</v>
      </c>
      <c r="D227" s="32" t="s">
        <v>522</v>
      </c>
      <c r="E227" s="32" t="s">
        <v>299</v>
      </c>
      <c r="F227" s="32"/>
      <c r="G227" s="34" t="s">
        <v>522</v>
      </c>
      <c r="H227" s="34" t="s">
        <v>299</v>
      </c>
      <c r="I227" s="35"/>
      <c r="J227" t="str">
        <f t="shared" si="9"/>
        <v>ОК</v>
      </c>
      <c r="K227" t="str">
        <f t="shared" si="10"/>
        <v>ОК</v>
      </c>
      <c r="L227" t="str">
        <f t="shared" si="11"/>
        <v>ОК</v>
      </c>
    </row>
    <row r="228" spans="1:12" ht="57.4" thickBot="1">
      <c r="A228" s="31">
        <v>227</v>
      </c>
      <c r="B228" s="32" t="s">
        <v>523</v>
      </c>
      <c r="C228" s="32">
        <v>101</v>
      </c>
      <c r="D228" s="32" t="s">
        <v>524</v>
      </c>
      <c r="E228" s="32" t="s">
        <v>74</v>
      </c>
      <c r="F228" s="32"/>
      <c r="G228" s="34" t="s">
        <v>524</v>
      </c>
      <c r="H228" s="34" t="s">
        <v>74</v>
      </c>
      <c r="I228" s="35"/>
      <c r="J228" t="str">
        <f t="shared" si="9"/>
        <v>ОК</v>
      </c>
      <c r="K228" t="str">
        <f t="shared" si="10"/>
        <v>ОК</v>
      </c>
      <c r="L228" t="str">
        <f t="shared" si="11"/>
        <v>ОК</v>
      </c>
    </row>
    <row r="229" spans="1:12" ht="71.650000000000006" thickBot="1">
      <c r="A229" s="31">
        <v>228</v>
      </c>
      <c r="B229" s="32" t="s">
        <v>525</v>
      </c>
      <c r="C229" s="32">
        <v>101</v>
      </c>
      <c r="D229" s="32" t="s">
        <v>526</v>
      </c>
      <c r="E229" s="32" t="s">
        <v>41</v>
      </c>
      <c r="F229" s="32"/>
      <c r="G229" s="34" t="s">
        <v>526</v>
      </c>
      <c r="H229" s="34" t="s">
        <v>41</v>
      </c>
      <c r="I229" s="35"/>
      <c r="J229" t="str">
        <f t="shared" si="9"/>
        <v>ОК</v>
      </c>
      <c r="K229" t="str">
        <f t="shared" si="10"/>
        <v>ОК</v>
      </c>
      <c r="L229" t="str">
        <f t="shared" si="11"/>
        <v>ОК</v>
      </c>
    </row>
    <row r="230" spans="1:12" ht="71.650000000000006" thickBot="1">
      <c r="A230" s="31">
        <v>229</v>
      </c>
      <c r="B230" s="32" t="s">
        <v>527</v>
      </c>
      <c r="C230" s="32">
        <v>101</v>
      </c>
      <c r="D230" s="32" t="s">
        <v>528</v>
      </c>
      <c r="E230" s="32" t="s">
        <v>8</v>
      </c>
      <c r="F230" s="32"/>
      <c r="G230" s="34" t="s">
        <v>528</v>
      </c>
      <c r="H230" s="34" t="s">
        <v>8</v>
      </c>
      <c r="I230" s="35"/>
      <c r="J230" t="str">
        <f t="shared" si="9"/>
        <v>ОК</v>
      </c>
      <c r="K230" t="str">
        <f t="shared" si="10"/>
        <v>ОК</v>
      </c>
      <c r="L230" t="str">
        <f t="shared" si="11"/>
        <v>ОК</v>
      </c>
    </row>
    <row r="231" spans="1:12" ht="157.9" thickBot="1">
      <c r="A231" s="31">
        <v>230</v>
      </c>
      <c r="B231" s="32" t="s">
        <v>529</v>
      </c>
      <c r="C231" s="32">
        <v>101</v>
      </c>
      <c r="D231" s="32" t="s">
        <v>530</v>
      </c>
      <c r="E231" s="32" t="s">
        <v>106</v>
      </c>
      <c r="F231" s="33" t="s">
        <v>60</v>
      </c>
      <c r="G231" s="34" t="s">
        <v>530</v>
      </c>
      <c r="H231" s="34" t="s">
        <v>106</v>
      </c>
      <c r="I231" s="35" t="s">
        <v>540</v>
      </c>
      <c r="J231" t="str">
        <f t="shared" si="9"/>
        <v>ОК</v>
      </c>
      <c r="K231" t="str">
        <f t="shared" si="10"/>
        <v>ОК</v>
      </c>
      <c r="L231" t="str">
        <f t="shared" si="11"/>
        <v>ОК</v>
      </c>
    </row>
    <row r="232" spans="1:12" ht="57.4" thickBot="1">
      <c r="A232" s="31">
        <v>231</v>
      </c>
      <c r="B232" s="32" t="s">
        <v>531</v>
      </c>
      <c r="C232" s="32">
        <v>101</v>
      </c>
      <c r="D232" s="32" t="s">
        <v>532</v>
      </c>
      <c r="E232" s="32" t="s">
        <v>74</v>
      </c>
      <c r="F232" s="32"/>
      <c r="G232" s="34" t="s">
        <v>532</v>
      </c>
      <c r="H232" s="34" t="s">
        <v>74</v>
      </c>
      <c r="I232" s="35"/>
      <c r="J232" t="str">
        <f t="shared" si="9"/>
        <v>ОК</v>
      </c>
      <c r="K232" t="str">
        <f t="shared" si="10"/>
        <v>ОК</v>
      </c>
      <c r="L232" t="str">
        <f t="shared" si="11"/>
        <v>ОК</v>
      </c>
    </row>
    <row r="233" spans="1:12" ht="71.650000000000006" thickBot="1">
      <c r="A233" s="31">
        <v>232</v>
      </c>
      <c r="B233" s="32" t="s">
        <v>533</v>
      </c>
      <c r="C233" s="32">
        <v>101</v>
      </c>
      <c r="D233" s="32" t="s">
        <v>534</v>
      </c>
      <c r="E233" s="32" t="s">
        <v>299</v>
      </c>
      <c r="F233" s="32"/>
      <c r="G233" s="34" t="s">
        <v>534</v>
      </c>
      <c r="H233" s="34" t="s">
        <v>299</v>
      </c>
      <c r="I233" s="35"/>
      <c r="J233" t="str">
        <f t="shared" si="9"/>
        <v>ОК</v>
      </c>
      <c r="K233" t="str">
        <f t="shared" si="10"/>
        <v>ОК</v>
      </c>
      <c r="L233" t="str">
        <f t="shared" si="11"/>
        <v>ОК</v>
      </c>
    </row>
    <row r="234" spans="1:12" ht="71.650000000000006" thickBot="1">
      <c r="A234" s="31">
        <v>233</v>
      </c>
      <c r="B234" s="32" t="s">
        <v>535</v>
      </c>
      <c r="C234" s="32">
        <v>101</v>
      </c>
      <c r="D234" s="32" t="s">
        <v>536</v>
      </c>
      <c r="E234" s="32" t="s">
        <v>59</v>
      </c>
      <c r="F234" s="32"/>
      <c r="G234" s="34" t="s">
        <v>536</v>
      </c>
      <c r="H234" s="34" t="s">
        <v>59</v>
      </c>
      <c r="I234" s="35"/>
      <c r="J234" t="str">
        <f t="shared" si="9"/>
        <v>ОК</v>
      </c>
      <c r="K234" t="str">
        <f t="shared" si="10"/>
        <v>ОК</v>
      </c>
      <c r="L234" t="str">
        <f t="shared" si="11"/>
        <v>ОК</v>
      </c>
    </row>
  </sheetData>
  <conditionalFormatting sqref="J1:L1048576">
    <cfRule type="cellIs" dxfId="0" priority="1" operator="equal">
      <formula>"Несоответствие"</formula>
    </cfRule>
  </conditionalFormatting>
  <hyperlinks>
    <hyperlink ref="I22" r:id="rId1"/>
    <hyperlink ref="I38" r:id="rId2"/>
    <hyperlink ref="I39" r:id="rId3"/>
    <hyperlink ref="F22" r:id="rId4"/>
    <hyperlink ref="F38" r:id="rId5"/>
    <hyperlink ref="F39" r:id="rId6"/>
    <hyperlink ref="F165" r:id="rId7" display="http://cloud.ru/"/>
    <hyperlink ref="F184" r:id="rId8" display="http://cloud.ru/"/>
    <hyperlink ref="F231" r:id="rId9" display="http://cloud.ru/"/>
    <hyperlink ref="I165" r:id="rId10" display="http://cloud.ru/"/>
    <hyperlink ref="I184" r:id="rId11" display="http://cloud.ru/"/>
    <hyperlink ref="I231" r:id="rId12" display="http://cloud.ru/"/>
  </hyperlinks>
  <pageMargins left="0.7" right="0.7" top="0.75" bottom="0.75" header="0.3" footer="0.3"/>
  <pageSetup paperSize="9" orientation="portrait" r:id="rId1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19"/>
  <sheetViews>
    <sheetView topLeftCell="A216" zoomScale="63" zoomScaleNormal="63" workbookViewId="0">
      <selection activeCell="A219" sqref="A219:XFD219"/>
    </sheetView>
  </sheetViews>
  <sheetFormatPr defaultColWidth="16.6640625" defaultRowHeight="15.75"/>
  <cols>
    <col min="1" max="1" width="16.6640625" style="44"/>
    <col min="2" max="2" width="41.06640625" style="44" bestFit="1" customWidth="1"/>
    <col min="3" max="3" width="23.53125" style="44" bestFit="1" customWidth="1"/>
    <col min="4" max="4" width="7.46484375" style="44" bestFit="1" customWidth="1"/>
    <col min="5" max="5" width="52.86328125" style="44" customWidth="1"/>
    <col min="6" max="6" width="24" style="44" bestFit="1" customWidth="1"/>
    <col min="7" max="7" width="14.73046875" style="44" bestFit="1" customWidth="1"/>
    <col min="8" max="8" width="12.265625" style="44" bestFit="1" customWidth="1"/>
    <col min="9" max="16384" width="16.6640625" style="44"/>
  </cols>
  <sheetData>
    <row r="1" spans="1:8">
      <c r="A1" s="44" t="s">
        <v>1</v>
      </c>
      <c r="B1" s="44" t="s">
        <v>3</v>
      </c>
      <c r="C1" s="44" t="s">
        <v>4</v>
      </c>
      <c r="D1" s="44" t="s">
        <v>600</v>
      </c>
      <c r="E1" s="44" t="s">
        <v>601</v>
      </c>
      <c r="F1" s="44" t="s">
        <v>602</v>
      </c>
      <c r="G1" s="46" t="s">
        <v>917</v>
      </c>
      <c r="H1" s="46" t="s">
        <v>918</v>
      </c>
    </row>
    <row r="2" spans="1:8" ht="126">
      <c r="A2" s="44" t="s">
        <v>6</v>
      </c>
      <c r="B2" s="44" t="s">
        <v>7</v>
      </c>
      <c r="C2" s="44" t="s">
        <v>8</v>
      </c>
      <c r="D2" s="44">
        <v>5</v>
      </c>
      <c r="E2" s="44" t="s">
        <v>919</v>
      </c>
      <c r="F2" s="44" t="s">
        <v>920</v>
      </c>
      <c r="G2" s="44" t="s">
        <v>921</v>
      </c>
      <c r="H2" s="44" t="s">
        <v>922</v>
      </c>
    </row>
    <row r="3" spans="1:8" ht="157.5">
      <c r="A3" s="44" t="s">
        <v>9</v>
      </c>
      <c r="B3" s="44" t="s">
        <v>10</v>
      </c>
      <c r="C3" s="44" t="s">
        <v>11</v>
      </c>
      <c r="D3" s="44">
        <v>4</v>
      </c>
      <c r="E3" s="44" t="s">
        <v>923</v>
      </c>
      <c r="G3" s="44" t="s">
        <v>924</v>
      </c>
      <c r="H3" s="44" t="s">
        <v>922</v>
      </c>
    </row>
    <row r="4" spans="1:8" ht="157.5">
      <c r="A4" s="44" t="s">
        <v>14</v>
      </c>
      <c r="B4" s="44" t="s">
        <v>15</v>
      </c>
      <c r="C4" s="44" t="s">
        <v>16</v>
      </c>
      <c r="D4" s="44">
        <v>4</v>
      </c>
      <c r="E4" s="44" t="s">
        <v>925</v>
      </c>
      <c r="G4" s="44" t="s">
        <v>924</v>
      </c>
      <c r="H4" s="44" t="s">
        <v>922</v>
      </c>
    </row>
    <row r="5" spans="1:8" ht="94.5">
      <c r="A5" s="44" t="s">
        <v>17</v>
      </c>
      <c r="B5" s="44" t="s">
        <v>18</v>
      </c>
      <c r="C5" s="44" t="s">
        <v>11</v>
      </c>
      <c r="D5" s="44">
        <v>4</v>
      </c>
      <c r="E5" s="44" t="s">
        <v>926</v>
      </c>
      <c r="G5" s="44" t="s">
        <v>921</v>
      </c>
      <c r="H5" s="44" t="s">
        <v>922</v>
      </c>
    </row>
    <row r="6" spans="1:8" ht="173.25">
      <c r="A6" s="44" t="s">
        <v>19</v>
      </c>
      <c r="B6" s="44" t="s">
        <v>20</v>
      </c>
      <c r="C6" s="44" t="s">
        <v>11</v>
      </c>
      <c r="D6" s="44">
        <v>5</v>
      </c>
      <c r="E6" s="44" t="s">
        <v>927</v>
      </c>
      <c r="G6" s="44" t="s">
        <v>924</v>
      </c>
      <c r="H6" s="44" t="s">
        <v>922</v>
      </c>
    </row>
    <row r="7" spans="1:8" ht="126">
      <c r="A7" s="44" t="s">
        <v>21</v>
      </c>
      <c r="B7" s="44" t="s">
        <v>22</v>
      </c>
      <c r="C7" s="44" t="s">
        <v>16</v>
      </c>
      <c r="D7" s="44">
        <v>5</v>
      </c>
      <c r="E7" s="44" t="s">
        <v>928</v>
      </c>
      <c r="G7" s="44" t="s">
        <v>924</v>
      </c>
      <c r="H7" s="44" t="s">
        <v>922</v>
      </c>
    </row>
    <row r="8" spans="1:8" ht="78.75">
      <c r="A8" s="44" t="s">
        <v>23</v>
      </c>
      <c r="B8" s="44" t="s">
        <v>24</v>
      </c>
      <c r="C8" s="44" t="s">
        <v>25</v>
      </c>
      <c r="D8" s="44">
        <v>5</v>
      </c>
      <c r="E8" s="44" t="s">
        <v>929</v>
      </c>
      <c r="G8" s="44" t="s">
        <v>924</v>
      </c>
      <c r="H8" s="44" t="s">
        <v>922</v>
      </c>
    </row>
    <row r="9" spans="1:8" ht="110.25">
      <c r="A9" s="44" t="s">
        <v>27</v>
      </c>
      <c r="B9" s="44" t="s">
        <v>28</v>
      </c>
      <c r="C9" s="44" t="s">
        <v>29</v>
      </c>
      <c r="D9" s="44">
        <v>4</v>
      </c>
      <c r="E9" s="44" t="s">
        <v>930</v>
      </c>
      <c r="G9" s="44" t="s">
        <v>924</v>
      </c>
      <c r="H9" s="44" t="s">
        <v>922</v>
      </c>
    </row>
    <row r="10" spans="1:8" ht="157.5">
      <c r="A10" s="44" t="s">
        <v>31</v>
      </c>
      <c r="B10" s="44" t="s">
        <v>32</v>
      </c>
      <c r="C10" s="44" t="s">
        <v>33</v>
      </c>
      <c r="D10" s="44">
        <v>3</v>
      </c>
      <c r="E10" s="44" t="s">
        <v>931</v>
      </c>
      <c r="G10" s="44" t="s">
        <v>921</v>
      </c>
      <c r="H10" s="44" t="s">
        <v>922</v>
      </c>
    </row>
    <row r="11" spans="1:8" ht="78.75">
      <c r="A11" s="44" t="s">
        <v>34</v>
      </c>
      <c r="B11" s="44" t="s">
        <v>35</v>
      </c>
      <c r="C11" s="44" t="s">
        <v>100</v>
      </c>
      <c r="D11" s="44">
        <v>5</v>
      </c>
      <c r="E11" s="44" t="s">
        <v>932</v>
      </c>
      <c r="G11" s="44" t="s">
        <v>924</v>
      </c>
      <c r="H11" s="44" t="s">
        <v>922</v>
      </c>
    </row>
    <row r="12" spans="1:8" ht="141.75">
      <c r="A12" s="44" t="s">
        <v>42</v>
      </c>
      <c r="B12" s="44" t="s">
        <v>43</v>
      </c>
      <c r="C12" s="44" t="s">
        <v>11</v>
      </c>
      <c r="D12" s="44">
        <v>5</v>
      </c>
      <c r="E12" s="44" t="s">
        <v>933</v>
      </c>
      <c r="G12" s="44" t="s">
        <v>924</v>
      </c>
      <c r="H12" s="44" t="s">
        <v>922</v>
      </c>
    </row>
    <row r="13" spans="1:8" ht="126">
      <c r="A13" s="44" t="s">
        <v>44</v>
      </c>
      <c r="B13" s="44" t="s">
        <v>45</v>
      </c>
      <c r="C13" s="44" t="s">
        <v>46</v>
      </c>
      <c r="D13" s="44">
        <v>5</v>
      </c>
      <c r="E13" s="44" t="s">
        <v>934</v>
      </c>
      <c r="G13" s="44" t="s">
        <v>924</v>
      </c>
      <c r="H13" s="44" t="s">
        <v>922</v>
      </c>
    </row>
    <row r="14" spans="1:8" ht="157.5">
      <c r="A14" s="44" t="s">
        <v>47</v>
      </c>
      <c r="B14" s="44" t="s">
        <v>48</v>
      </c>
      <c r="C14" s="44" t="s">
        <v>11</v>
      </c>
      <c r="D14" s="44">
        <v>5</v>
      </c>
      <c r="E14" s="44" t="s">
        <v>935</v>
      </c>
      <c r="G14" s="44" t="s">
        <v>924</v>
      </c>
      <c r="H14" s="44" t="s">
        <v>922</v>
      </c>
    </row>
    <row r="15" spans="1:8" ht="141.75">
      <c r="A15" s="44" t="s">
        <v>49</v>
      </c>
      <c r="B15" s="44" t="s">
        <v>305</v>
      </c>
      <c r="C15" s="44" t="s">
        <v>46</v>
      </c>
      <c r="D15" s="44">
        <v>4</v>
      </c>
      <c r="E15" s="44" t="s">
        <v>936</v>
      </c>
      <c r="G15" s="44" t="s">
        <v>924</v>
      </c>
      <c r="H15" s="44" t="s">
        <v>922</v>
      </c>
    </row>
    <row r="16" spans="1:8" ht="78.75">
      <c r="A16" s="44" t="s">
        <v>52</v>
      </c>
      <c r="B16" s="44" t="s">
        <v>53</v>
      </c>
      <c r="C16" s="44" t="s">
        <v>54</v>
      </c>
      <c r="D16" s="44">
        <v>4</v>
      </c>
      <c r="E16" s="44" t="s">
        <v>937</v>
      </c>
      <c r="G16" s="44" t="s">
        <v>924</v>
      </c>
      <c r="H16" s="44" t="s">
        <v>922</v>
      </c>
    </row>
    <row r="17" spans="1:8" ht="173.25">
      <c r="A17" s="44" t="s">
        <v>55</v>
      </c>
      <c r="B17" s="44" t="s">
        <v>56</v>
      </c>
      <c r="C17" s="44" t="s">
        <v>306</v>
      </c>
      <c r="D17" s="44">
        <v>4</v>
      </c>
      <c r="E17" s="44" t="s">
        <v>938</v>
      </c>
      <c r="G17" s="44" t="s">
        <v>924</v>
      </c>
      <c r="H17" s="44" t="s">
        <v>922</v>
      </c>
    </row>
    <row r="18" spans="1:8" ht="94.5">
      <c r="A18" s="44" t="s">
        <v>61</v>
      </c>
      <c r="B18" s="44" t="s">
        <v>62</v>
      </c>
      <c r="C18" s="44" t="s">
        <v>308</v>
      </c>
      <c r="D18" s="44">
        <v>5</v>
      </c>
      <c r="E18" s="44" t="s">
        <v>939</v>
      </c>
      <c r="G18" s="44" t="s">
        <v>924</v>
      </c>
      <c r="H18" s="44" t="s">
        <v>922</v>
      </c>
    </row>
    <row r="19" spans="1:8" ht="110.25">
      <c r="A19" s="44" t="s">
        <v>63</v>
      </c>
      <c r="B19" s="44" t="s">
        <v>64</v>
      </c>
      <c r="C19" s="44" t="s">
        <v>309</v>
      </c>
      <c r="D19" s="44">
        <v>5</v>
      </c>
      <c r="E19" s="44" t="s">
        <v>940</v>
      </c>
      <c r="G19" s="44" t="s">
        <v>924</v>
      </c>
      <c r="H19" s="44" t="s">
        <v>922</v>
      </c>
    </row>
    <row r="20" spans="1:8" ht="94.9" thickBot="1">
      <c r="A20" s="45" t="s">
        <v>65</v>
      </c>
      <c r="B20" s="44" t="s">
        <v>66</v>
      </c>
      <c r="C20" s="44" t="s">
        <v>310</v>
      </c>
      <c r="D20" s="44">
        <v>5</v>
      </c>
      <c r="E20" s="44" t="s">
        <v>941</v>
      </c>
      <c r="G20" s="44" t="s">
        <v>924</v>
      </c>
      <c r="H20" s="44" t="s">
        <v>922</v>
      </c>
    </row>
    <row r="21" spans="1:8" ht="63">
      <c r="A21" s="44" t="s">
        <v>57</v>
      </c>
      <c r="B21" s="44" t="s">
        <v>58</v>
      </c>
      <c r="C21" s="44" t="s">
        <v>59</v>
      </c>
      <c r="D21" s="44">
        <v>4</v>
      </c>
      <c r="E21" s="44" t="s">
        <v>942</v>
      </c>
      <c r="G21" s="44" t="s">
        <v>924</v>
      </c>
      <c r="H21" s="44" t="s">
        <v>922</v>
      </c>
    </row>
    <row r="22" spans="1:8" ht="110.25">
      <c r="A22" s="44" t="s">
        <v>206</v>
      </c>
      <c r="B22" s="44" t="s">
        <v>207</v>
      </c>
      <c r="C22" s="44" t="s">
        <v>208</v>
      </c>
      <c r="D22" s="44">
        <v>5</v>
      </c>
      <c r="E22" s="44" t="s">
        <v>943</v>
      </c>
      <c r="F22" s="44" t="s">
        <v>944</v>
      </c>
      <c r="G22" s="44" t="s">
        <v>924</v>
      </c>
      <c r="H22" s="44" t="s">
        <v>922</v>
      </c>
    </row>
    <row r="23" spans="1:8" ht="78.75">
      <c r="A23" s="44" t="s">
        <v>39</v>
      </c>
      <c r="B23" s="44" t="s">
        <v>40</v>
      </c>
      <c r="C23" s="44" t="s">
        <v>41</v>
      </c>
      <c r="D23" s="44">
        <v>5</v>
      </c>
      <c r="E23" s="44" t="s">
        <v>945</v>
      </c>
      <c r="F23" s="44" t="s">
        <v>946</v>
      </c>
      <c r="G23" s="44" t="s">
        <v>924</v>
      </c>
      <c r="H23" s="44" t="s">
        <v>922</v>
      </c>
    </row>
    <row r="24" spans="1:8" ht="126">
      <c r="A24" s="44" t="s">
        <v>12</v>
      </c>
      <c r="B24" s="44" t="s">
        <v>13</v>
      </c>
      <c r="C24" s="44" t="s">
        <v>8</v>
      </c>
      <c r="D24" s="44">
        <v>5</v>
      </c>
      <c r="E24" s="44" t="s">
        <v>947</v>
      </c>
      <c r="F24" s="44" t="s">
        <v>948</v>
      </c>
      <c r="G24" s="44" t="s">
        <v>949</v>
      </c>
      <c r="H24" s="44" t="s">
        <v>922</v>
      </c>
    </row>
    <row r="25" spans="1:8" ht="78.75">
      <c r="A25" s="44" t="s">
        <v>117</v>
      </c>
      <c r="B25" s="44" t="s">
        <v>118</v>
      </c>
      <c r="C25" s="44" t="s">
        <v>8</v>
      </c>
      <c r="D25" s="44">
        <v>5</v>
      </c>
      <c r="E25" s="44" t="s">
        <v>950</v>
      </c>
      <c r="G25" s="44" t="s">
        <v>924</v>
      </c>
      <c r="H25" s="44" t="s">
        <v>922</v>
      </c>
    </row>
    <row r="26" spans="1:8" ht="63">
      <c r="A26" s="44" t="s">
        <v>169</v>
      </c>
      <c r="B26" s="44" t="s">
        <v>170</v>
      </c>
      <c r="C26" s="44" t="s">
        <v>8</v>
      </c>
      <c r="D26" s="44">
        <v>5</v>
      </c>
      <c r="E26" s="44" t="s">
        <v>951</v>
      </c>
      <c r="F26" s="44" t="s">
        <v>952</v>
      </c>
      <c r="G26" s="44" t="s">
        <v>924</v>
      </c>
      <c r="H26" s="44" t="s">
        <v>922</v>
      </c>
    </row>
    <row r="27" spans="1:8" ht="94.5">
      <c r="A27" s="44" t="s">
        <v>147</v>
      </c>
      <c r="B27" s="44" t="s">
        <v>148</v>
      </c>
      <c r="C27" s="44" t="s">
        <v>146</v>
      </c>
      <c r="D27" s="44">
        <v>5</v>
      </c>
      <c r="E27" s="44" t="s">
        <v>953</v>
      </c>
      <c r="G27" s="44" t="s">
        <v>924</v>
      </c>
      <c r="H27" s="44" t="s">
        <v>922</v>
      </c>
    </row>
    <row r="28" spans="1:8" ht="78.75">
      <c r="A28" s="44" t="s">
        <v>140</v>
      </c>
      <c r="B28" s="44" t="s">
        <v>141</v>
      </c>
      <c r="C28" s="44" t="s">
        <v>41</v>
      </c>
      <c r="D28" s="44">
        <v>5</v>
      </c>
      <c r="E28" s="44" t="s">
        <v>954</v>
      </c>
      <c r="F28" s="44" t="s">
        <v>955</v>
      </c>
      <c r="G28" s="44" t="s">
        <v>924</v>
      </c>
      <c r="H28" s="44" t="s">
        <v>922</v>
      </c>
    </row>
    <row r="29" spans="1:8" ht="315">
      <c r="A29" s="44" t="s">
        <v>50</v>
      </c>
      <c r="B29" s="44" t="s">
        <v>51</v>
      </c>
      <c r="C29" s="44" t="s">
        <v>8</v>
      </c>
      <c r="D29" s="44">
        <v>5</v>
      </c>
      <c r="E29" s="44" t="s">
        <v>956</v>
      </c>
      <c r="G29" s="44" t="s">
        <v>949</v>
      </c>
      <c r="H29" s="44" t="s">
        <v>949</v>
      </c>
    </row>
    <row r="30" spans="1:8" ht="141.75">
      <c r="A30" s="44" t="s">
        <v>67</v>
      </c>
      <c r="B30" s="44" t="s">
        <v>636</v>
      </c>
      <c r="C30" s="44" t="s">
        <v>304</v>
      </c>
      <c r="D30" s="44">
        <v>5</v>
      </c>
      <c r="E30" s="44" t="s">
        <v>957</v>
      </c>
      <c r="F30" s="44" t="s">
        <v>958</v>
      </c>
    </row>
    <row r="31" spans="1:8" ht="78.75">
      <c r="A31" s="44" t="s">
        <v>68</v>
      </c>
      <c r="B31" s="44" t="s">
        <v>69</v>
      </c>
      <c r="C31" s="44" t="s">
        <v>41</v>
      </c>
      <c r="D31" s="44">
        <v>5</v>
      </c>
      <c r="E31" s="44" t="s">
        <v>959</v>
      </c>
    </row>
    <row r="32" spans="1:8" ht="173.25">
      <c r="A32" s="44" t="s">
        <v>70</v>
      </c>
      <c r="B32" s="44" t="s">
        <v>71</v>
      </c>
      <c r="C32" s="44" t="s">
        <v>16</v>
      </c>
      <c r="D32" s="44">
        <v>4</v>
      </c>
      <c r="E32" s="44" t="s">
        <v>960</v>
      </c>
    </row>
    <row r="33" spans="1:6" ht="220.5">
      <c r="A33" s="44" t="s">
        <v>72</v>
      </c>
      <c r="B33" s="44" t="s">
        <v>73</v>
      </c>
      <c r="C33" s="44" t="s">
        <v>74</v>
      </c>
      <c r="D33" s="44">
        <v>4</v>
      </c>
      <c r="E33" s="44" t="s">
        <v>961</v>
      </c>
    </row>
    <row r="34" spans="1:6" ht="78.75">
      <c r="A34" s="44" t="s">
        <v>75</v>
      </c>
      <c r="B34" s="44" t="s">
        <v>312</v>
      </c>
      <c r="C34" s="44" t="s">
        <v>8</v>
      </c>
      <c r="D34" s="44">
        <v>5</v>
      </c>
      <c r="E34" s="44" t="s">
        <v>962</v>
      </c>
    </row>
    <row r="35" spans="1:6" ht="126">
      <c r="A35" s="44" t="s">
        <v>76</v>
      </c>
      <c r="B35" s="44" t="s">
        <v>77</v>
      </c>
      <c r="C35" s="44" t="s">
        <v>11</v>
      </c>
      <c r="D35" s="44">
        <v>5</v>
      </c>
      <c r="E35" s="44" t="s">
        <v>963</v>
      </c>
    </row>
    <row r="36" spans="1:6" ht="94.5">
      <c r="A36" s="44" t="s">
        <v>78</v>
      </c>
      <c r="B36" s="44" t="s">
        <v>79</v>
      </c>
      <c r="C36" s="44" t="s">
        <v>80</v>
      </c>
      <c r="D36" s="44">
        <v>4</v>
      </c>
      <c r="E36" s="44" t="s">
        <v>964</v>
      </c>
      <c r="F36" s="44" t="s">
        <v>965</v>
      </c>
    </row>
    <row r="37" spans="1:6" ht="78.75">
      <c r="A37" s="44" t="s">
        <v>81</v>
      </c>
      <c r="B37" s="44" t="s">
        <v>82</v>
      </c>
      <c r="C37" s="44" t="s">
        <v>11</v>
      </c>
      <c r="D37" s="44">
        <v>4</v>
      </c>
      <c r="E37" s="44" t="s">
        <v>966</v>
      </c>
    </row>
    <row r="38" spans="1:6" ht="78.75">
      <c r="A38" s="44" t="s">
        <v>83</v>
      </c>
      <c r="B38" s="44" t="s">
        <v>84</v>
      </c>
      <c r="C38" s="44" t="s">
        <v>25</v>
      </c>
      <c r="D38" s="44">
        <v>5</v>
      </c>
      <c r="E38" s="44" t="s">
        <v>967</v>
      </c>
    </row>
    <row r="39" spans="1:6" ht="126">
      <c r="A39" s="44" t="s">
        <v>85</v>
      </c>
      <c r="B39" s="44" t="s">
        <v>86</v>
      </c>
      <c r="C39" s="44" t="s">
        <v>8</v>
      </c>
      <c r="D39" s="44">
        <v>5</v>
      </c>
      <c r="E39" s="44" t="s">
        <v>968</v>
      </c>
    </row>
    <row r="40" spans="1:6" ht="110.25">
      <c r="A40" s="44" t="s">
        <v>87</v>
      </c>
      <c r="B40" s="44" t="s">
        <v>88</v>
      </c>
      <c r="C40" s="44" t="s">
        <v>89</v>
      </c>
      <c r="D40" s="44">
        <v>5</v>
      </c>
      <c r="E40" s="44" t="s">
        <v>969</v>
      </c>
    </row>
    <row r="41" spans="1:6" ht="78.75">
      <c r="A41" s="44" t="s">
        <v>90</v>
      </c>
      <c r="B41" s="44" t="s">
        <v>91</v>
      </c>
      <c r="C41" s="44" t="s">
        <v>92</v>
      </c>
      <c r="D41" s="44">
        <v>5</v>
      </c>
      <c r="E41" s="44" t="s">
        <v>970</v>
      </c>
      <c r="F41" s="44" t="s">
        <v>971</v>
      </c>
    </row>
    <row r="42" spans="1:6" ht="110.25">
      <c r="A42" s="44" t="s">
        <v>93</v>
      </c>
      <c r="B42" s="44" t="s">
        <v>94</v>
      </c>
      <c r="C42" s="44" t="s">
        <v>29</v>
      </c>
      <c r="D42" s="44">
        <v>4</v>
      </c>
      <c r="E42" s="44" t="s">
        <v>972</v>
      </c>
      <c r="F42" s="44" t="s">
        <v>973</v>
      </c>
    </row>
    <row r="43" spans="1:6" ht="94.5">
      <c r="A43" s="44" t="s">
        <v>97</v>
      </c>
      <c r="B43" s="44" t="s">
        <v>659</v>
      </c>
      <c r="C43" s="44" t="s">
        <v>89</v>
      </c>
      <c r="D43" s="44">
        <v>5</v>
      </c>
      <c r="E43" s="44" t="s">
        <v>974</v>
      </c>
      <c r="F43" s="44" t="s">
        <v>975</v>
      </c>
    </row>
    <row r="44" spans="1:6" ht="94.5">
      <c r="A44" s="44" t="s">
        <v>98</v>
      </c>
      <c r="B44" s="44" t="s">
        <v>99</v>
      </c>
      <c r="C44" s="44" t="s">
        <v>100</v>
      </c>
      <c r="D44" s="44">
        <v>4</v>
      </c>
      <c r="E44" s="44" t="s">
        <v>976</v>
      </c>
    </row>
    <row r="45" spans="1:6" ht="78.75">
      <c r="A45" s="44" t="s">
        <v>101</v>
      </c>
      <c r="B45" s="44" t="s">
        <v>102</v>
      </c>
      <c r="C45" s="44" t="s">
        <v>100</v>
      </c>
      <c r="D45" s="44">
        <v>5</v>
      </c>
      <c r="E45" s="44" t="s">
        <v>977</v>
      </c>
      <c r="F45" s="44" t="s">
        <v>978</v>
      </c>
    </row>
    <row r="46" spans="1:6" ht="157.5">
      <c r="A46" s="44" t="s">
        <v>103</v>
      </c>
      <c r="B46" s="44" t="s">
        <v>104</v>
      </c>
      <c r="C46" s="44" t="s">
        <v>29</v>
      </c>
      <c r="D46" s="44">
        <v>4</v>
      </c>
      <c r="E46" s="44" t="s">
        <v>979</v>
      </c>
    </row>
    <row r="47" spans="1:6" ht="94.5">
      <c r="A47" s="44" t="s">
        <v>105</v>
      </c>
      <c r="B47" s="44" t="s">
        <v>314</v>
      </c>
      <c r="C47" s="44" t="s">
        <v>89</v>
      </c>
      <c r="D47" s="44">
        <v>5</v>
      </c>
      <c r="E47" s="44" t="s">
        <v>980</v>
      </c>
    </row>
    <row r="48" spans="1:6" ht="78.75">
      <c r="A48" s="44" t="s">
        <v>107</v>
      </c>
      <c r="B48" s="44" t="s">
        <v>108</v>
      </c>
      <c r="C48" s="44" t="s">
        <v>100</v>
      </c>
      <c r="D48" s="44">
        <v>5</v>
      </c>
      <c r="E48" s="44" t="s">
        <v>981</v>
      </c>
    </row>
    <row r="49" spans="1:6" ht="78.75">
      <c r="A49" s="44" t="s">
        <v>109</v>
      </c>
      <c r="B49" s="44" t="s">
        <v>110</v>
      </c>
      <c r="C49" s="44" t="s">
        <v>8</v>
      </c>
      <c r="D49" s="44">
        <v>5</v>
      </c>
      <c r="E49" s="44" t="s">
        <v>982</v>
      </c>
    </row>
    <row r="50" spans="1:6" ht="110.25">
      <c r="A50" s="44" t="s">
        <v>111</v>
      </c>
      <c r="B50" s="44" t="s">
        <v>112</v>
      </c>
      <c r="C50" s="44" t="s">
        <v>16</v>
      </c>
      <c r="D50" s="44">
        <v>4</v>
      </c>
      <c r="E50" s="44" t="s">
        <v>983</v>
      </c>
    </row>
    <row r="51" spans="1:6" ht="78.75">
      <c r="A51" s="44" t="s">
        <v>113</v>
      </c>
      <c r="B51" s="44" t="s">
        <v>114</v>
      </c>
      <c r="C51" s="44" t="s">
        <v>16</v>
      </c>
      <c r="D51" s="44">
        <v>5</v>
      </c>
      <c r="E51" s="44" t="s">
        <v>984</v>
      </c>
      <c r="F51" s="44" t="s">
        <v>965</v>
      </c>
    </row>
    <row r="52" spans="1:6" ht="79.150000000000006" thickBot="1">
      <c r="A52" s="45" t="s">
        <v>115</v>
      </c>
      <c r="B52" s="44" t="s">
        <v>116</v>
      </c>
      <c r="C52" s="44" t="s">
        <v>41</v>
      </c>
      <c r="D52" s="44">
        <v>5</v>
      </c>
      <c r="E52" s="44" t="s">
        <v>985</v>
      </c>
      <c r="F52" s="44" t="s">
        <v>986</v>
      </c>
    </row>
    <row r="53" spans="1:6" ht="110.25">
      <c r="A53" s="44" t="s">
        <v>124</v>
      </c>
      <c r="B53" s="44" t="s">
        <v>987</v>
      </c>
      <c r="C53" s="44" t="s">
        <v>38</v>
      </c>
      <c r="D53" s="44">
        <v>5</v>
      </c>
      <c r="E53" s="44" t="s">
        <v>988</v>
      </c>
    </row>
    <row r="54" spans="1:6" ht="78.75">
      <c r="A54" s="44" t="s">
        <v>135</v>
      </c>
      <c r="B54" s="44" t="s">
        <v>136</v>
      </c>
      <c r="C54" s="44" t="s">
        <v>137</v>
      </c>
      <c r="D54" s="44">
        <v>5</v>
      </c>
      <c r="E54" s="44" t="s">
        <v>989</v>
      </c>
    </row>
    <row r="55" spans="1:6" ht="78.75">
      <c r="A55" s="44" t="s">
        <v>127</v>
      </c>
      <c r="B55" s="44" t="s">
        <v>128</v>
      </c>
      <c r="C55" s="44" t="s">
        <v>38</v>
      </c>
      <c r="D55" s="44">
        <v>5</v>
      </c>
      <c r="E55" s="44" t="s">
        <v>990</v>
      </c>
      <c r="F55" s="44" t="s">
        <v>991</v>
      </c>
    </row>
    <row r="56" spans="1:6" ht="157.5">
      <c r="A56" s="44" t="s">
        <v>119</v>
      </c>
      <c r="B56" s="44" t="s">
        <v>120</v>
      </c>
      <c r="C56" s="44" t="s">
        <v>121</v>
      </c>
      <c r="D56" s="44">
        <v>5</v>
      </c>
      <c r="E56" s="44" t="s">
        <v>992</v>
      </c>
      <c r="F56" s="44" t="s">
        <v>993</v>
      </c>
    </row>
    <row r="57" spans="1:6" ht="173.25">
      <c r="A57" s="44" t="s">
        <v>122</v>
      </c>
      <c r="B57" s="44" t="s">
        <v>123</v>
      </c>
      <c r="C57" s="44" t="s">
        <v>121</v>
      </c>
      <c r="D57" s="44">
        <v>5</v>
      </c>
      <c r="E57" s="44" t="s">
        <v>994</v>
      </c>
    </row>
    <row r="58" spans="1:6" ht="78.75">
      <c r="A58" s="44" t="s">
        <v>126</v>
      </c>
      <c r="B58" s="44" t="s">
        <v>695</v>
      </c>
      <c r="C58" s="44" t="s">
        <v>100</v>
      </c>
      <c r="D58" s="44">
        <v>4</v>
      </c>
      <c r="E58" s="44" t="s">
        <v>995</v>
      </c>
    </row>
    <row r="59" spans="1:6" ht="78.75">
      <c r="A59" s="44" t="s">
        <v>129</v>
      </c>
      <c r="B59" s="44" t="s">
        <v>130</v>
      </c>
      <c r="C59" s="44" t="s">
        <v>29</v>
      </c>
      <c r="D59" s="44">
        <v>5</v>
      </c>
      <c r="E59" s="44" t="s">
        <v>996</v>
      </c>
    </row>
    <row r="60" spans="1:6" ht="78.75">
      <c r="A60" s="44" t="s">
        <v>131</v>
      </c>
      <c r="B60" s="44" t="s">
        <v>132</v>
      </c>
      <c r="C60" s="44" t="s">
        <v>41</v>
      </c>
      <c r="D60" s="44">
        <v>4</v>
      </c>
      <c r="E60" s="44" t="s">
        <v>997</v>
      </c>
    </row>
    <row r="61" spans="1:6" ht="94.5">
      <c r="A61" s="44" t="s">
        <v>133</v>
      </c>
      <c r="B61" s="44" t="s">
        <v>134</v>
      </c>
      <c r="C61" s="44" t="s">
        <v>46</v>
      </c>
      <c r="D61" s="44">
        <v>4</v>
      </c>
      <c r="E61" s="44" t="s">
        <v>998</v>
      </c>
    </row>
    <row r="62" spans="1:6" ht="78.75">
      <c r="A62" s="44" t="s">
        <v>138</v>
      </c>
      <c r="B62" s="44" t="s">
        <v>139</v>
      </c>
      <c r="C62" s="44" t="s">
        <v>106</v>
      </c>
      <c r="D62" s="44">
        <v>5</v>
      </c>
      <c r="E62" s="44" t="s">
        <v>999</v>
      </c>
    </row>
    <row r="63" spans="1:6" ht="78.75">
      <c r="A63" s="44" t="s">
        <v>142</v>
      </c>
      <c r="B63" s="44" t="s">
        <v>696</v>
      </c>
      <c r="C63" s="44" t="s">
        <v>41</v>
      </c>
      <c r="D63" s="44">
        <v>4</v>
      </c>
      <c r="E63" s="44" t="s">
        <v>1000</v>
      </c>
    </row>
    <row r="64" spans="1:6" ht="126">
      <c r="A64" s="44" t="s">
        <v>144</v>
      </c>
      <c r="B64" s="44" t="s">
        <v>145</v>
      </c>
      <c r="C64" s="44" t="s">
        <v>146</v>
      </c>
      <c r="D64" s="44">
        <v>5</v>
      </c>
      <c r="E64" s="44" t="s">
        <v>1001</v>
      </c>
    </row>
    <row r="65" spans="1:5" ht="78.75">
      <c r="A65" s="44" t="s">
        <v>149</v>
      </c>
      <c r="B65" s="44" t="s">
        <v>150</v>
      </c>
      <c r="C65" s="44" t="s">
        <v>151</v>
      </c>
      <c r="D65" s="44">
        <v>4</v>
      </c>
      <c r="E65" s="44" t="s">
        <v>1002</v>
      </c>
    </row>
    <row r="66" spans="1:5" ht="110.25">
      <c r="A66" s="44" t="s">
        <v>152</v>
      </c>
      <c r="B66" s="44" t="s">
        <v>153</v>
      </c>
      <c r="C66" s="44" t="s">
        <v>16</v>
      </c>
      <c r="D66" s="44">
        <v>4</v>
      </c>
      <c r="E66" s="44" t="s">
        <v>1003</v>
      </c>
    </row>
    <row r="67" spans="1:5" ht="78.75">
      <c r="A67" s="44" t="s">
        <v>154</v>
      </c>
      <c r="B67" s="44" t="s">
        <v>155</v>
      </c>
      <c r="C67" s="44" t="s">
        <v>146</v>
      </c>
      <c r="D67" s="44">
        <v>5</v>
      </c>
      <c r="E67" s="44" t="s">
        <v>1004</v>
      </c>
    </row>
    <row r="68" spans="1:5" ht="78.75">
      <c r="A68" s="44" t="s">
        <v>156</v>
      </c>
      <c r="B68" s="44" t="s">
        <v>157</v>
      </c>
      <c r="C68" s="44" t="s">
        <v>151</v>
      </c>
      <c r="D68" s="44">
        <v>5</v>
      </c>
      <c r="E68" s="44" t="s">
        <v>1005</v>
      </c>
    </row>
    <row r="69" spans="1:5" ht="94.5">
      <c r="A69" s="44" t="s">
        <v>158</v>
      </c>
      <c r="B69" s="44" t="s">
        <v>159</v>
      </c>
      <c r="C69" s="44" t="s">
        <v>100</v>
      </c>
      <c r="D69" s="44">
        <v>4</v>
      </c>
      <c r="E69" s="44" t="s">
        <v>1006</v>
      </c>
    </row>
    <row r="70" spans="1:5" ht="63">
      <c r="A70" s="44" t="s">
        <v>160</v>
      </c>
      <c r="B70" s="44" t="s">
        <v>161</v>
      </c>
      <c r="C70" s="44" t="s">
        <v>11</v>
      </c>
      <c r="D70" s="44">
        <v>5</v>
      </c>
      <c r="E70" s="44" t="s">
        <v>1007</v>
      </c>
    </row>
    <row r="71" spans="1:5" ht="78.75">
      <c r="A71" s="44" t="s">
        <v>162</v>
      </c>
      <c r="B71" s="44" t="s">
        <v>163</v>
      </c>
      <c r="C71" s="44" t="s">
        <v>164</v>
      </c>
      <c r="D71" s="44">
        <v>5</v>
      </c>
      <c r="E71" s="44" t="s">
        <v>1008</v>
      </c>
    </row>
    <row r="72" spans="1:5" ht="63">
      <c r="A72" s="44" t="s">
        <v>165</v>
      </c>
      <c r="B72" s="44" t="s">
        <v>166</v>
      </c>
      <c r="C72" s="44" t="s">
        <v>8</v>
      </c>
      <c r="D72" s="44">
        <v>5</v>
      </c>
      <c r="E72" s="44" t="s">
        <v>1009</v>
      </c>
    </row>
    <row r="73" spans="1:5" ht="78.75">
      <c r="A73" s="44" t="s">
        <v>167</v>
      </c>
      <c r="B73" s="44" t="s">
        <v>168</v>
      </c>
      <c r="C73" s="44" t="s">
        <v>11</v>
      </c>
      <c r="D73" s="44">
        <v>5</v>
      </c>
      <c r="E73" s="44" t="s">
        <v>1010</v>
      </c>
    </row>
    <row r="74" spans="1:5" ht="63">
      <c r="A74" s="44" t="s">
        <v>169</v>
      </c>
      <c r="B74" s="44" t="s">
        <v>170</v>
      </c>
      <c r="C74" s="44" t="s">
        <v>8</v>
      </c>
      <c r="D74" s="44">
        <v>5</v>
      </c>
      <c r="E74" s="44" t="s">
        <v>951</v>
      </c>
    </row>
    <row r="75" spans="1:5" ht="94.5">
      <c r="A75" s="44" t="s">
        <v>147</v>
      </c>
      <c r="B75" s="44" t="s">
        <v>148</v>
      </c>
      <c r="C75" s="44" t="s">
        <v>146</v>
      </c>
      <c r="D75" s="44">
        <v>5</v>
      </c>
      <c r="E75" s="44" t="s">
        <v>953</v>
      </c>
    </row>
    <row r="76" spans="1:5" ht="78.75">
      <c r="A76" s="44" t="s">
        <v>140</v>
      </c>
      <c r="B76" s="44" t="s">
        <v>141</v>
      </c>
      <c r="C76" s="44" t="s">
        <v>41</v>
      </c>
      <c r="D76" s="44">
        <v>5</v>
      </c>
      <c r="E76" s="44" t="s">
        <v>954</v>
      </c>
    </row>
    <row r="77" spans="1:5" ht="78.75">
      <c r="A77" s="44" t="s">
        <v>171</v>
      </c>
      <c r="B77" s="44" t="s">
        <v>172</v>
      </c>
      <c r="C77" s="44" t="s">
        <v>151</v>
      </c>
      <c r="D77" s="44">
        <v>5</v>
      </c>
      <c r="E77" s="44" t="s">
        <v>1011</v>
      </c>
    </row>
    <row r="78" spans="1:5" ht="78.75">
      <c r="A78" s="44" t="s">
        <v>173</v>
      </c>
      <c r="B78" s="44" t="s">
        <v>174</v>
      </c>
      <c r="C78" s="44" t="s">
        <v>100</v>
      </c>
      <c r="D78" s="44">
        <v>5</v>
      </c>
      <c r="E78" s="44" t="s">
        <v>1012</v>
      </c>
    </row>
    <row r="79" spans="1:5" ht="47.25">
      <c r="A79" s="44" t="s">
        <v>175</v>
      </c>
      <c r="B79" s="44" t="s">
        <v>176</v>
      </c>
      <c r="C79" s="44" t="s">
        <v>177</v>
      </c>
      <c r="D79" s="44">
        <v>5</v>
      </c>
      <c r="E79" s="44" t="s">
        <v>1013</v>
      </c>
    </row>
    <row r="80" spans="1:5" ht="63">
      <c r="A80" s="44" t="s">
        <v>178</v>
      </c>
      <c r="B80" s="44" t="s">
        <v>179</v>
      </c>
      <c r="C80" s="44" t="s">
        <v>106</v>
      </c>
      <c r="D80" s="44">
        <v>5</v>
      </c>
      <c r="E80" s="44" t="s">
        <v>1014</v>
      </c>
    </row>
    <row r="81" spans="1:6" ht="63">
      <c r="A81" s="44" t="s">
        <v>180</v>
      </c>
      <c r="B81" s="44" t="s">
        <v>181</v>
      </c>
      <c r="C81" s="44" t="s">
        <v>177</v>
      </c>
      <c r="D81" s="44">
        <v>5</v>
      </c>
      <c r="E81" s="44" t="s">
        <v>1015</v>
      </c>
    </row>
    <row r="82" spans="1:6" ht="78.75">
      <c r="A82" s="44" t="s">
        <v>182</v>
      </c>
      <c r="B82" s="44" t="s">
        <v>183</v>
      </c>
      <c r="C82" s="44" t="s">
        <v>100</v>
      </c>
      <c r="D82" s="44">
        <v>4</v>
      </c>
      <c r="E82" s="44" t="s">
        <v>1016</v>
      </c>
    </row>
    <row r="83" spans="1:6" ht="94.5">
      <c r="A83" s="44" t="s">
        <v>184</v>
      </c>
      <c r="B83" s="44" t="s">
        <v>185</v>
      </c>
      <c r="C83" s="44" t="s">
        <v>316</v>
      </c>
      <c r="D83" s="44">
        <v>5</v>
      </c>
      <c r="E83" s="44" t="s">
        <v>1017</v>
      </c>
    </row>
    <row r="84" spans="1:6" ht="78.75">
      <c r="A84" s="44" t="s">
        <v>189</v>
      </c>
      <c r="B84" s="44" t="s">
        <v>190</v>
      </c>
      <c r="C84" s="44" t="s">
        <v>164</v>
      </c>
      <c r="D84" s="44">
        <v>5</v>
      </c>
      <c r="E84" s="44" t="s">
        <v>1018</v>
      </c>
    </row>
    <row r="85" spans="1:6" ht="78.75">
      <c r="A85" s="44" t="s">
        <v>191</v>
      </c>
      <c r="B85" s="44" t="s">
        <v>192</v>
      </c>
      <c r="C85" s="44" t="s">
        <v>100</v>
      </c>
      <c r="D85" s="44">
        <v>5</v>
      </c>
      <c r="E85" s="44" t="s">
        <v>1019</v>
      </c>
    </row>
    <row r="86" spans="1:6" ht="94.5">
      <c r="A86" s="44" t="s">
        <v>193</v>
      </c>
      <c r="B86" s="44" t="s">
        <v>194</v>
      </c>
      <c r="C86" s="44" t="s">
        <v>100</v>
      </c>
      <c r="D86" s="44">
        <v>5</v>
      </c>
      <c r="E86" s="44" t="s">
        <v>1020</v>
      </c>
    </row>
    <row r="87" spans="1:6" ht="78.75">
      <c r="A87" s="44" t="s">
        <v>511</v>
      </c>
      <c r="B87" s="44" t="s">
        <v>512</v>
      </c>
      <c r="C87" s="44" t="s">
        <v>41</v>
      </c>
      <c r="D87" s="44">
        <v>5</v>
      </c>
      <c r="E87" s="44" t="s">
        <v>1021</v>
      </c>
    </row>
    <row r="88" spans="1:6" ht="63">
      <c r="A88" s="44" t="s">
        <v>527</v>
      </c>
      <c r="B88" s="44" t="s">
        <v>528</v>
      </c>
      <c r="C88" s="44" t="s">
        <v>8</v>
      </c>
      <c r="D88" s="44">
        <v>5</v>
      </c>
      <c r="E88" s="44" t="s">
        <v>1022</v>
      </c>
      <c r="F88" s="44" t="s">
        <v>1023</v>
      </c>
    </row>
    <row r="89" spans="1:6" ht="94.5">
      <c r="A89" s="44" t="s">
        <v>498</v>
      </c>
      <c r="B89" s="44" t="s">
        <v>499</v>
      </c>
      <c r="C89" s="44" t="s">
        <v>41</v>
      </c>
      <c r="D89" s="44">
        <v>5</v>
      </c>
      <c r="E89" s="44" t="s">
        <v>1024</v>
      </c>
    </row>
    <row r="90" spans="1:6" ht="173.25">
      <c r="A90" s="44" t="s">
        <v>379</v>
      </c>
      <c r="B90" s="44" t="s">
        <v>380</v>
      </c>
      <c r="C90" s="44" t="s">
        <v>8</v>
      </c>
      <c r="D90" s="44">
        <v>5</v>
      </c>
      <c r="E90" s="44" t="s">
        <v>1025</v>
      </c>
    </row>
    <row r="91" spans="1:6" ht="94.5">
      <c r="A91" s="44" t="s">
        <v>471</v>
      </c>
      <c r="B91" s="44" t="s">
        <v>472</v>
      </c>
      <c r="C91" s="44" t="s">
        <v>8</v>
      </c>
      <c r="D91" s="44">
        <v>5</v>
      </c>
      <c r="E91" s="44" t="s">
        <v>1026</v>
      </c>
    </row>
    <row r="92" spans="1:6" ht="141.75">
      <c r="A92" s="44" t="s">
        <v>476</v>
      </c>
      <c r="B92" s="44" t="s">
        <v>477</v>
      </c>
      <c r="C92" s="44" t="s">
        <v>29</v>
      </c>
      <c r="D92" s="44">
        <v>4</v>
      </c>
      <c r="E92" s="44" t="s">
        <v>1028</v>
      </c>
    </row>
    <row r="93" spans="1:6" ht="189">
      <c r="A93" s="44" t="s">
        <v>478</v>
      </c>
      <c r="B93" s="44" t="s">
        <v>479</v>
      </c>
      <c r="C93" s="44" t="s">
        <v>121</v>
      </c>
      <c r="D93" s="44">
        <v>4</v>
      </c>
      <c r="E93" s="44" t="s">
        <v>1029</v>
      </c>
    </row>
    <row r="94" spans="1:6" ht="94.5">
      <c r="A94" s="44" t="s">
        <v>480</v>
      </c>
      <c r="B94" s="44" t="s">
        <v>481</v>
      </c>
      <c r="C94" s="44" t="s">
        <v>121</v>
      </c>
      <c r="D94" s="44">
        <v>5</v>
      </c>
      <c r="E94" s="44" t="s">
        <v>1030</v>
      </c>
    </row>
    <row r="95" spans="1:6" ht="94.5">
      <c r="A95" s="44" t="s">
        <v>483</v>
      </c>
      <c r="B95" s="44" t="s">
        <v>484</v>
      </c>
      <c r="C95" s="44" t="s">
        <v>29</v>
      </c>
      <c r="D95" s="44">
        <v>4</v>
      </c>
      <c r="E95" s="44" t="s">
        <v>1031</v>
      </c>
    </row>
    <row r="96" spans="1:6" ht="94.5">
      <c r="A96" s="44" t="s">
        <v>485</v>
      </c>
      <c r="B96" s="44" t="s">
        <v>486</v>
      </c>
      <c r="C96" s="44" t="s">
        <v>41</v>
      </c>
      <c r="D96" s="44">
        <v>4</v>
      </c>
      <c r="E96" s="44" t="s">
        <v>1032</v>
      </c>
    </row>
    <row r="97" spans="1:5" ht="78.75">
      <c r="A97" s="44" t="s">
        <v>489</v>
      </c>
      <c r="B97" s="44" t="s">
        <v>490</v>
      </c>
      <c r="C97" s="44" t="s">
        <v>38</v>
      </c>
      <c r="D97" s="44">
        <v>4</v>
      </c>
      <c r="E97" s="44" t="s">
        <v>1033</v>
      </c>
    </row>
    <row r="98" spans="1:5" ht="94.5">
      <c r="A98" s="44" t="s">
        <v>491</v>
      </c>
      <c r="B98" s="44" t="s">
        <v>492</v>
      </c>
      <c r="C98" s="47" t="s">
        <v>404</v>
      </c>
      <c r="D98" s="44">
        <v>5</v>
      </c>
      <c r="E98" s="44" t="s">
        <v>1034</v>
      </c>
    </row>
    <row r="99" spans="1:5" ht="94.5">
      <c r="A99" s="44" t="s">
        <v>493</v>
      </c>
      <c r="B99" s="44" t="s">
        <v>494</v>
      </c>
      <c r="C99" s="44" t="s">
        <v>121</v>
      </c>
      <c r="D99" s="44">
        <v>5</v>
      </c>
      <c r="E99" s="44" t="s">
        <v>1035</v>
      </c>
    </row>
    <row r="100" spans="1:5" ht="94.5">
      <c r="A100" s="44" t="s">
        <v>495</v>
      </c>
      <c r="B100" s="44" t="s">
        <v>496</v>
      </c>
      <c r="C100" s="44" t="s">
        <v>497</v>
      </c>
      <c r="D100" s="44">
        <v>4</v>
      </c>
      <c r="E100" s="44" t="s">
        <v>1036</v>
      </c>
    </row>
    <row r="101" spans="1:5" ht="94.5">
      <c r="A101" s="44" t="s">
        <v>500</v>
      </c>
      <c r="B101" s="44" t="s">
        <v>501</v>
      </c>
      <c r="C101" s="44" t="s">
        <v>8</v>
      </c>
      <c r="D101" s="44">
        <v>5</v>
      </c>
      <c r="E101" s="44" t="s">
        <v>1037</v>
      </c>
    </row>
    <row r="102" spans="1:5" ht="78.75">
      <c r="A102" s="44" t="s">
        <v>502</v>
      </c>
      <c r="B102" s="44" t="s">
        <v>503</v>
      </c>
      <c r="C102" s="44" t="s">
        <v>341</v>
      </c>
      <c r="D102" s="44">
        <v>5</v>
      </c>
      <c r="E102" s="44" t="s">
        <v>1038</v>
      </c>
    </row>
    <row r="103" spans="1:5" ht="63">
      <c r="A103" s="44" t="s">
        <v>504</v>
      </c>
      <c r="B103" s="44" t="s">
        <v>505</v>
      </c>
      <c r="C103" s="44" t="s">
        <v>506</v>
      </c>
      <c r="D103" s="44">
        <v>4</v>
      </c>
      <c r="E103" s="44" t="s">
        <v>1039</v>
      </c>
    </row>
    <row r="104" spans="1:5" ht="78.75">
      <c r="A104" s="44" t="s">
        <v>474</v>
      </c>
      <c r="B104" s="44" t="s">
        <v>1027</v>
      </c>
      <c r="C104" s="44" t="s">
        <v>41</v>
      </c>
      <c r="D104" s="44">
        <v>5</v>
      </c>
      <c r="E104" s="44" t="s">
        <v>1040</v>
      </c>
    </row>
    <row r="105" spans="1:5" ht="189">
      <c r="A105" s="44" t="s">
        <v>349</v>
      </c>
      <c r="B105" s="44" t="s">
        <v>350</v>
      </c>
      <c r="C105" s="44" t="s">
        <v>346</v>
      </c>
      <c r="D105" s="44">
        <v>5</v>
      </c>
      <c r="E105" s="44" t="s">
        <v>1041</v>
      </c>
    </row>
    <row r="106" spans="1:5" ht="78.75">
      <c r="A106" s="44" t="s">
        <v>355</v>
      </c>
      <c r="B106" s="44" t="s">
        <v>356</v>
      </c>
      <c r="C106" s="44" t="s">
        <v>121</v>
      </c>
      <c r="D106" s="44">
        <v>4</v>
      </c>
      <c r="E106" s="44" t="s">
        <v>1042</v>
      </c>
    </row>
    <row r="107" spans="1:5" ht="110.25">
      <c r="A107" s="44" t="s">
        <v>357</v>
      </c>
      <c r="B107" s="44" t="s">
        <v>358</v>
      </c>
      <c r="C107" s="44" t="s">
        <v>258</v>
      </c>
      <c r="D107" s="44">
        <v>5</v>
      </c>
      <c r="E107" s="44" t="s">
        <v>1043</v>
      </c>
    </row>
    <row r="108" spans="1:5" ht="204.75">
      <c r="A108" s="44" t="s">
        <v>359</v>
      </c>
      <c r="B108" s="44" t="s">
        <v>360</v>
      </c>
      <c r="C108" s="44" t="s">
        <v>251</v>
      </c>
      <c r="D108" s="44">
        <v>5</v>
      </c>
      <c r="E108" s="44" t="s">
        <v>1044</v>
      </c>
    </row>
    <row r="109" spans="1:5" ht="110.25">
      <c r="A109" s="44" t="s">
        <v>361</v>
      </c>
      <c r="B109" s="44" t="s">
        <v>362</v>
      </c>
      <c r="C109" s="44" t="s">
        <v>164</v>
      </c>
      <c r="D109" s="44">
        <v>4</v>
      </c>
      <c r="E109" s="44" t="s">
        <v>1045</v>
      </c>
    </row>
    <row r="110" spans="1:5" ht="94.5">
      <c r="A110" s="44" t="s">
        <v>363</v>
      </c>
      <c r="B110" s="44" t="s">
        <v>364</v>
      </c>
      <c r="C110" s="44" t="s">
        <v>164</v>
      </c>
      <c r="D110" s="44">
        <v>4</v>
      </c>
      <c r="E110" s="44" t="s">
        <v>1046</v>
      </c>
    </row>
    <row r="111" spans="1:5" ht="141.75">
      <c r="A111" s="44" t="s">
        <v>365</v>
      </c>
      <c r="B111" s="44" t="s">
        <v>366</v>
      </c>
      <c r="C111" s="44" t="s">
        <v>121</v>
      </c>
      <c r="D111" s="44">
        <v>5</v>
      </c>
      <c r="E111" s="44" t="s">
        <v>1047</v>
      </c>
    </row>
    <row r="112" spans="1:5" ht="110.25">
      <c r="A112" s="44" t="s">
        <v>367</v>
      </c>
      <c r="B112" s="44" t="s">
        <v>368</v>
      </c>
      <c r="C112" s="44" t="s">
        <v>266</v>
      </c>
      <c r="D112" s="44">
        <v>4</v>
      </c>
      <c r="E112" s="44" t="s">
        <v>1048</v>
      </c>
    </row>
    <row r="113" spans="1:6" ht="141.75">
      <c r="A113" s="44" t="s">
        <v>371</v>
      </c>
      <c r="B113" s="44" t="s">
        <v>372</v>
      </c>
      <c r="C113" s="44" t="s">
        <v>100</v>
      </c>
      <c r="D113" s="44">
        <v>5</v>
      </c>
      <c r="E113" s="44" t="s">
        <v>1049</v>
      </c>
    </row>
    <row r="114" spans="1:6" ht="78.75">
      <c r="A114" s="44" t="s">
        <v>373</v>
      </c>
      <c r="B114" s="44" t="s">
        <v>374</v>
      </c>
      <c r="C114" s="44" t="s">
        <v>100</v>
      </c>
      <c r="D114" s="44">
        <v>4</v>
      </c>
      <c r="E114" s="44" t="s">
        <v>1050</v>
      </c>
    </row>
    <row r="115" spans="1:6" ht="78.75">
      <c r="A115" s="44" t="s">
        <v>375</v>
      </c>
      <c r="B115" s="44" t="s">
        <v>376</v>
      </c>
      <c r="C115" s="44" t="s">
        <v>100</v>
      </c>
      <c r="D115" s="44">
        <v>4</v>
      </c>
      <c r="E115" s="44" t="s">
        <v>1051</v>
      </c>
      <c r="F115" s="44" t="s">
        <v>1052</v>
      </c>
    </row>
    <row r="116" spans="1:6" ht="157.5">
      <c r="A116" s="44" t="s">
        <v>377</v>
      </c>
      <c r="B116" s="44" t="s">
        <v>378</v>
      </c>
      <c r="C116" s="44" t="s">
        <v>100</v>
      </c>
      <c r="D116" s="44">
        <v>4</v>
      </c>
      <c r="E116" s="44" t="s">
        <v>1053</v>
      </c>
    </row>
    <row r="117" spans="1:6" ht="94.5">
      <c r="A117" s="44" t="s">
        <v>381</v>
      </c>
      <c r="B117" s="44" t="s">
        <v>382</v>
      </c>
      <c r="C117" s="44" t="s">
        <v>266</v>
      </c>
      <c r="D117" s="44">
        <v>5</v>
      </c>
      <c r="E117" s="44" t="s">
        <v>1054</v>
      </c>
    </row>
    <row r="118" spans="1:6" ht="126">
      <c r="A118" s="44" t="s">
        <v>384</v>
      </c>
      <c r="B118" s="44" t="s">
        <v>385</v>
      </c>
      <c r="C118" s="44" t="s">
        <v>8</v>
      </c>
      <c r="D118" s="44">
        <v>5</v>
      </c>
      <c r="E118" s="44" t="s">
        <v>1055</v>
      </c>
    </row>
    <row r="119" spans="1:6" ht="78.75">
      <c r="A119" s="44" t="s">
        <v>386</v>
      </c>
      <c r="B119" s="44" t="s">
        <v>539</v>
      </c>
      <c r="C119" s="44" t="s">
        <v>346</v>
      </c>
      <c r="D119" s="44">
        <v>5</v>
      </c>
      <c r="E119" s="44" t="s">
        <v>1056</v>
      </c>
    </row>
    <row r="120" spans="1:6" ht="78.75">
      <c r="A120" s="44" t="s">
        <v>387</v>
      </c>
      <c r="B120" s="44" t="s">
        <v>388</v>
      </c>
      <c r="C120" s="44" t="s">
        <v>346</v>
      </c>
      <c r="D120" s="44">
        <v>5</v>
      </c>
      <c r="E120" s="44" t="s">
        <v>1057</v>
      </c>
    </row>
    <row r="121" spans="1:6" ht="94.5">
      <c r="A121" s="44" t="s">
        <v>389</v>
      </c>
      <c r="B121" s="44" t="s">
        <v>390</v>
      </c>
      <c r="C121" s="44" t="s">
        <v>266</v>
      </c>
      <c r="D121" s="44">
        <v>5</v>
      </c>
      <c r="E121" s="44" t="s">
        <v>1058</v>
      </c>
    </row>
    <row r="122" spans="1:6" ht="110.25">
      <c r="A122" s="44" t="s">
        <v>383</v>
      </c>
      <c r="B122" s="44" t="s">
        <v>538</v>
      </c>
      <c r="C122" s="44" t="s">
        <v>8</v>
      </c>
      <c r="D122" s="44">
        <v>5</v>
      </c>
      <c r="E122" s="44" t="s">
        <v>1059</v>
      </c>
    </row>
    <row r="123" spans="1:6" ht="94.5">
      <c r="A123" s="44" t="s">
        <v>369</v>
      </c>
      <c r="B123" s="44" t="s">
        <v>370</v>
      </c>
      <c r="C123" s="44" t="s">
        <v>74</v>
      </c>
      <c r="D123" s="44">
        <v>4</v>
      </c>
      <c r="E123" s="44" t="s">
        <v>1060</v>
      </c>
      <c r="F123" s="44" t="s">
        <v>1052</v>
      </c>
    </row>
    <row r="124" spans="1:6" ht="78.75">
      <c r="A124" s="44" t="s">
        <v>391</v>
      </c>
      <c r="B124" s="44" t="s">
        <v>392</v>
      </c>
      <c r="C124" s="44" t="s">
        <v>29</v>
      </c>
      <c r="D124" s="44">
        <v>5</v>
      </c>
      <c r="E124" s="44" t="s">
        <v>1061</v>
      </c>
    </row>
    <row r="125" spans="1:6" ht="94.5">
      <c r="A125" s="44" t="s">
        <v>393</v>
      </c>
      <c r="B125" s="44" t="s">
        <v>541</v>
      </c>
      <c r="C125" s="44" t="s">
        <v>121</v>
      </c>
      <c r="D125" s="44">
        <v>4</v>
      </c>
      <c r="E125" s="44" t="s">
        <v>1062</v>
      </c>
    </row>
    <row r="126" spans="1:6" ht="94.5">
      <c r="A126" s="44" t="s">
        <v>394</v>
      </c>
      <c r="B126" s="44" t="s">
        <v>395</v>
      </c>
      <c r="C126" s="44" t="s">
        <v>29</v>
      </c>
      <c r="D126" s="44">
        <v>4</v>
      </c>
      <c r="E126" s="44" t="s">
        <v>1063</v>
      </c>
    </row>
    <row r="127" spans="1:6" ht="94.5">
      <c r="A127" s="44" t="s">
        <v>396</v>
      </c>
      <c r="B127" s="44" t="s">
        <v>397</v>
      </c>
      <c r="C127" s="44" t="s">
        <v>398</v>
      </c>
      <c r="D127" s="44">
        <v>5</v>
      </c>
      <c r="E127" s="44" t="s">
        <v>1064</v>
      </c>
    </row>
    <row r="128" spans="1:6" ht="110.25">
      <c r="A128" s="44" t="s">
        <v>400</v>
      </c>
      <c r="B128" s="44" t="s">
        <v>401</v>
      </c>
      <c r="C128" s="44" t="s">
        <v>29</v>
      </c>
      <c r="D128" s="44">
        <v>4</v>
      </c>
      <c r="E128" s="44" t="s">
        <v>1065</v>
      </c>
    </row>
    <row r="129" spans="1:5" ht="110.25">
      <c r="A129" s="44" t="s">
        <v>405</v>
      </c>
      <c r="B129" s="44" t="s">
        <v>542</v>
      </c>
      <c r="C129" s="44" t="s">
        <v>266</v>
      </c>
      <c r="D129" s="44">
        <v>4</v>
      </c>
      <c r="E129" s="44" t="s">
        <v>1066</v>
      </c>
    </row>
    <row r="130" spans="1:5" ht="78.75">
      <c r="A130" s="44" t="s">
        <v>406</v>
      </c>
      <c r="B130" s="44" t="s">
        <v>407</v>
      </c>
      <c r="C130" s="44" t="s">
        <v>29</v>
      </c>
      <c r="D130" s="44">
        <v>5</v>
      </c>
      <c r="E130" s="44" t="s">
        <v>1067</v>
      </c>
    </row>
    <row r="131" spans="1:5" ht="94.5">
      <c r="A131" s="44" t="s">
        <v>408</v>
      </c>
      <c r="B131" s="44" t="s">
        <v>409</v>
      </c>
      <c r="C131" s="44" t="s">
        <v>106</v>
      </c>
      <c r="D131" s="44">
        <v>5</v>
      </c>
      <c r="E131" s="44" t="s">
        <v>1068</v>
      </c>
    </row>
    <row r="132" spans="1:5" ht="110.25">
      <c r="A132" s="44" t="s">
        <v>410</v>
      </c>
      <c r="B132" s="44" t="s">
        <v>411</v>
      </c>
      <c r="C132" s="44" t="s">
        <v>121</v>
      </c>
      <c r="D132" s="44">
        <v>5</v>
      </c>
      <c r="E132" s="44" t="s">
        <v>1069</v>
      </c>
    </row>
    <row r="133" spans="1:5" ht="110.25">
      <c r="A133" s="44" t="s">
        <v>412</v>
      </c>
      <c r="B133" s="44" t="s">
        <v>413</v>
      </c>
      <c r="C133" s="44" t="s">
        <v>8</v>
      </c>
      <c r="D133" s="44">
        <v>5</v>
      </c>
      <c r="E133" s="44" t="s">
        <v>1070</v>
      </c>
    </row>
    <row r="134" spans="1:5" ht="78.75">
      <c r="A134" s="44" t="s">
        <v>414</v>
      </c>
      <c r="B134" s="44" t="s">
        <v>415</v>
      </c>
      <c r="C134" s="44" t="s">
        <v>41</v>
      </c>
      <c r="D134" s="44">
        <v>5</v>
      </c>
      <c r="E134" s="44" t="s">
        <v>1071</v>
      </c>
    </row>
    <row r="135" spans="1:5" ht="110.25">
      <c r="A135" s="44" t="s">
        <v>417</v>
      </c>
      <c r="B135" s="44" t="s">
        <v>418</v>
      </c>
      <c r="C135" s="44" t="s">
        <v>41</v>
      </c>
      <c r="D135" s="44">
        <v>5</v>
      </c>
      <c r="E135" s="44" t="s">
        <v>1072</v>
      </c>
    </row>
    <row r="136" spans="1:5" ht="110.25">
      <c r="A136" s="44" t="s">
        <v>419</v>
      </c>
      <c r="B136" s="44" t="s">
        <v>420</v>
      </c>
      <c r="C136" s="44" t="s">
        <v>8</v>
      </c>
      <c r="D136" s="44">
        <v>5</v>
      </c>
      <c r="E136" s="44" t="s">
        <v>1073</v>
      </c>
    </row>
    <row r="137" spans="1:5" ht="94.5">
      <c r="A137" s="44" t="s">
        <v>422</v>
      </c>
      <c r="B137" s="44" t="s">
        <v>423</v>
      </c>
      <c r="C137" s="44" t="s">
        <v>100</v>
      </c>
      <c r="D137" s="44">
        <v>5</v>
      </c>
      <c r="E137" s="44" t="s">
        <v>1074</v>
      </c>
    </row>
    <row r="138" spans="1:5" ht="94.5">
      <c r="A138" s="44" t="s">
        <v>424</v>
      </c>
      <c r="B138" s="44" t="s">
        <v>543</v>
      </c>
      <c r="C138" s="44" t="s">
        <v>121</v>
      </c>
      <c r="D138" s="44">
        <v>5</v>
      </c>
      <c r="E138" s="44" t="s">
        <v>1075</v>
      </c>
    </row>
    <row r="139" spans="1:5" ht="78.75">
      <c r="A139" s="44" t="s">
        <v>425</v>
      </c>
      <c r="B139" s="44" t="s">
        <v>544</v>
      </c>
      <c r="C139" s="44" t="s">
        <v>224</v>
      </c>
      <c r="D139" s="46">
        <v>5</v>
      </c>
      <c r="E139" s="44" t="s">
        <v>1076</v>
      </c>
    </row>
    <row r="140" spans="1:5" ht="220.5">
      <c r="A140" s="44" t="s">
        <v>428</v>
      </c>
      <c r="B140" s="44" t="s">
        <v>429</v>
      </c>
      <c r="C140" s="44" t="s">
        <v>29</v>
      </c>
      <c r="D140" s="46">
        <v>4</v>
      </c>
      <c r="E140" s="44" t="s">
        <v>1077</v>
      </c>
    </row>
    <row r="141" spans="1:5" ht="63">
      <c r="A141" s="44" t="s">
        <v>426</v>
      </c>
      <c r="B141" s="44" t="s">
        <v>427</v>
      </c>
      <c r="C141" s="44" t="s">
        <v>164</v>
      </c>
      <c r="D141" s="46">
        <v>5</v>
      </c>
      <c r="E141" s="44" t="s">
        <v>1078</v>
      </c>
    </row>
    <row r="142" spans="1:5" ht="78.75">
      <c r="A142" s="44" t="s">
        <v>430</v>
      </c>
      <c r="B142" s="44" t="s">
        <v>431</v>
      </c>
      <c r="C142" s="44" t="s">
        <v>41</v>
      </c>
      <c r="D142" s="46">
        <v>5</v>
      </c>
      <c r="E142" s="44" t="s">
        <v>1079</v>
      </c>
    </row>
    <row r="143" spans="1:5" ht="141.75">
      <c r="A143" s="44" t="s">
        <v>432</v>
      </c>
      <c r="B143" s="44" t="s">
        <v>433</v>
      </c>
      <c r="C143" s="44" t="s">
        <v>41</v>
      </c>
      <c r="D143" s="46">
        <v>5</v>
      </c>
      <c r="E143" s="44" t="s">
        <v>1080</v>
      </c>
    </row>
    <row r="144" spans="1:5" ht="110.25">
      <c r="A144" s="44" t="s">
        <v>434</v>
      </c>
      <c r="B144" s="44" t="s">
        <v>435</v>
      </c>
      <c r="C144" s="44" t="s">
        <v>224</v>
      </c>
      <c r="D144" s="46">
        <v>5</v>
      </c>
      <c r="E144" s="44" t="s">
        <v>1081</v>
      </c>
    </row>
    <row r="145" spans="1:5" ht="63">
      <c r="A145" s="44" t="s">
        <v>438</v>
      </c>
      <c r="B145" s="44" t="s">
        <v>439</v>
      </c>
      <c r="C145" s="44" t="s">
        <v>74</v>
      </c>
      <c r="D145" s="46">
        <v>5</v>
      </c>
      <c r="E145" s="44" t="s">
        <v>1082</v>
      </c>
    </row>
    <row r="146" spans="1:5" ht="78.75">
      <c r="A146" s="44" t="s">
        <v>440</v>
      </c>
      <c r="B146" s="44" t="s">
        <v>441</v>
      </c>
      <c r="C146" s="44" t="s">
        <v>121</v>
      </c>
      <c r="D146" s="46">
        <v>5</v>
      </c>
      <c r="E146" s="44" t="s">
        <v>1083</v>
      </c>
    </row>
    <row r="147" spans="1:5" ht="78.75">
      <c r="A147" s="44" t="s">
        <v>442</v>
      </c>
      <c r="B147" s="44" t="s">
        <v>443</v>
      </c>
      <c r="C147" s="44" t="s">
        <v>299</v>
      </c>
      <c r="D147" s="46">
        <v>5</v>
      </c>
      <c r="E147" s="44" t="s">
        <v>1084</v>
      </c>
    </row>
    <row r="148" spans="1:5" ht="126">
      <c r="A148" s="44" t="s">
        <v>444</v>
      </c>
      <c r="B148" s="44" t="s">
        <v>445</v>
      </c>
      <c r="C148" s="44" t="s">
        <v>299</v>
      </c>
      <c r="D148" s="44">
        <v>5</v>
      </c>
      <c r="E148" s="44" t="s">
        <v>1085</v>
      </c>
    </row>
    <row r="149" spans="1:5" ht="126">
      <c r="A149" s="44" t="s">
        <v>446</v>
      </c>
      <c r="B149" s="44" t="s">
        <v>447</v>
      </c>
      <c r="C149" s="44" t="s">
        <v>266</v>
      </c>
      <c r="D149" s="44">
        <v>5</v>
      </c>
      <c r="E149" s="44" t="s">
        <v>1086</v>
      </c>
    </row>
    <row r="150" spans="1:5" ht="63">
      <c r="A150" s="44" t="s">
        <v>448</v>
      </c>
      <c r="B150" s="44" t="s">
        <v>449</v>
      </c>
      <c r="C150" s="44" t="s">
        <v>74</v>
      </c>
      <c r="D150" s="44">
        <v>5</v>
      </c>
      <c r="E150" s="44" t="s">
        <v>1087</v>
      </c>
    </row>
    <row r="151" spans="1:5" ht="94.5">
      <c r="A151" s="44" t="s">
        <v>450</v>
      </c>
      <c r="B151" s="44" t="s">
        <v>451</v>
      </c>
      <c r="C151" s="44" t="s">
        <v>266</v>
      </c>
      <c r="D151" s="44">
        <v>5</v>
      </c>
      <c r="E151" s="44" t="s">
        <v>1088</v>
      </c>
    </row>
    <row r="152" spans="1:5" ht="78.75">
      <c r="A152" s="44" t="s">
        <v>452</v>
      </c>
      <c r="B152" s="44" t="s">
        <v>453</v>
      </c>
      <c r="C152" s="44" t="s">
        <v>29</v>
      </c>
      <c r="D152" s="44">
        <v>5</v>
      </c>
      <c r="E152" s="44" t="s">
        <v>1089</v>
      </c>
    </row>
    <row r="153" spans="1:5" ht="78.75">
      <c r="A153" s="44" t="s">
        <v>455</v>
      </c>
      <c r="B153" s="44" t="s">
        <v>456</v>
      </c>
      <c r="C153" s="44" t="s">
        <v>41</v>
      </c>
      <c r="D153" s="44">
        <v>5</v>
      </c>
      <c r="E153" s="48">
        <v>8.6805555555555566E-2</v>
      </c>
    </row>
    <row r="154" spans="1:5" ht="78.75">
      <c r="A154" s="44" t="s">
        <v>459</v>
      </c>
      <c r="B154" s="44" t="s">
        <v>460</v>
      </c>
      <c r="C154" s="44" t="s">
        <v>121</v>
      </c>
      <c r="D154" s="44">
        <v>5</v>
      </c>
      <c r="E154" s="48">
        <v>9.930555555555555E-2</v>
      </c>
    </row>
    <row r="155" spans="1:5" ht="78.75">
      <c r="A155" s="44" t="s">
        <v>461</v>
      </c>
      <c r="B155" s="44" t="s">
        <v>462</v>
      </c>
      <c r="C155" s="44" t="s">
        <v>233</v>
      </c>
      <c r="D155" s="44">
        <v>5</v>
      </c>
      <c r="E155" s="44" t="s">
        <v>1090</v>
      </c>
    </row>
    <row r="156" spans="1:5" ht="78.75">
      <c r="A156" s="44" t="s">
        <v>463</v>
      </c>
      <c r="B156" s="44" t="s">
        <v>464</v>
      </c>
      <c r="C156" s="44" t="s">
        <v>164</v>
      </c>
      <c r="D156" s="44">
        <v>5</v>
      </c>
      <c r="E156" s="44" t="s">
        <v>1091</v>
      </c>
    </row>
    <row r="157" spans="1:5" ht="94.5">
      <c r="A157" s="44" t="s">
        <v>465</v>
      </c>
      <c r="B157" s="44" t="s">
        <v>466</v>
      </c>
      <c r="C157" s="44" t="s">
        <v>8</v>
      </c>
      <c r="D157" s="44">
        <v>5</v>
      </c>
      <c r="E157" s="44" t="s">
        <v>1092</v>
      </c>
    </row>
    <row r="158" spans="1:5" ht="63">
      <c r="A158" s="44" t="s">
        <v>469</v>
      </c>
      <c r="B158" s="44" t="s">
        <v>470</v>
      </c>
      <c r="C158" s="44" t="s">
        <v>106</v>
      </c>
      <c r="D158" s="44">
        <v>5</v>
      </c>
      <c r="E158" s="44" t="s">
        <v>1093</v>
      </c>
    </row>
    <row r="159" spans="1:5" ht="63">
      <c r="A159" s="44" t="s">
        <v>240</v>
      </c>
      <c r="B159" s="44" t="s">
        <v>241</v>
      </c>
      <c r="C159" s="44" t="s">
        <v>8</v>
      </c>
      <c r="D159" s="44">
        <v>5</v>
      </c>
      <c r="E159" s="44" t="s">
        <v>1094</v>
      </c>
    </row>
    <row r="160" spans="1:5" ht="94.5">
      <c r="A160" s="44" t="s">
        <v>242</v>
      </c>
      <c r="B160" s="44" t="s">
        <v>243</v>
      </c>
      <c r="C160" s="44" t="s">
        <v>89</v>
      </c>
      <c r="D160" s="44">
        <v>3</v>
      </c>
      <c r="E160" s="44" t="s">
        <v>1095</v>
      </c>
    </row>
    <row r="161" spans="1:5" ht="94.5">
      <c r="A161" s="44" t="s">
        <v>244</v>
      </c>
      <c r="B161" s="44" t="s">
        <v>245</v>
      </c>
      <c r="C161" s="44" t="s">
        <v>41</v>
      </c>
      <c r="D161" s="44">
        <v>5</v>
      </c>
      <c r="E161" s="44" t="s">
        <v>1096</v>
      </c>
    </row>
    <row r="162" spans="1:5" ht="78.75">
      <c r="A162" s="44" t="s">
        <v>246</v>
      </c>
      <c r="B162" s="44" t="s">
        <v>247</v>
      </c>
      <c r="C162" s="44" t="s">
        <v>38</v>
      </c>
      <c r="D162" s="44">
        <v>5</v>
      </c>
      <c r="E162" s="44" t="s">
        <v>1097</v>
      </c>
    </row>
    <row r="163" spans="1:5" ht="78.75">
      <c r="A163" s="44" t="s">
        <v>249</v>
      </c>
      <c r="B163" s="44" t="s">
        <v>250</v>
      </c>
      <c r="C163" s="44" t="s">
        <v>251</v>
      </c>
      <c r="D163" s="44">
        <v>4</v>
      </c>
      <c r="E163" s="44" t="s">
        <v>1098</v>
      </c>
    </row>
    <row r="164" spans="1:5" ht="78.75">
      <c r="A164" s="44" t="s">
        <v>252</v>
      </c>
      <c r="B164" s="44" t="s">
        <v>320</v>
      </c>
      <c r="C164" s="44" t="s">
        <v>26</v>
      </c>
      <c r="D164" s="44">
        <v>5</v>
      </c>
      <c r="E164" s="44" t="s">
        <v>1099</v>
      </c>
    </row>
    <row r="165" spans="1:5" ht="78.75">
      <c r="A165" s="44" t="s">
        <v>254</v>
      </c>
      <c r="B165" s="44" t="s">
        <v>255</v>
      </c>
      <c r="C165" s="44" t="s">
        <v>8</v>
      </c>
      <c r="D165" s="44">
        <v>4</v>
      </c>
      <c r="E165" s="44" t="s">
        <v>1100</v>
      </c>
    </row>
    <row r="166" spans="1:5" ht="78.75">
      <c r="A166" s="44" t="s">
        <v>256</v>
      </c>
      <c r="B166" s="44" t="s">
        <v>257</v>
      </c>
      <c r="C166" s="44" t="s">
        <v>258</v>
      </c>
      <c r="D166" s="44">
        <v>3</v>
      </c>
      <c r="E166" s="44" t="s">
        <v>1101</v>
      </c>
    </row>
    <row r="167" spans="1:5" ht="63">
      <c r="A167" s="44" t="s">
        <v>259</v>
      </c>
      <c r="B167" s="44" t="s">
        <v>260</v>
      </c>
      <c r="C167" s="44" t="s">
        <v>11</v>
      </c>
      <c r="D167" s="44">
        <v>5</v>
      </c>
      <c r="E167" s="44" t="s">
        <v>1102</v>
      </c>
    </row>
    <row r="168" spans="1:5" ht="78.75">
      <c r="A168" s="44" t="s">
        <v>261</v>
      </c>
      <c r="B168" s="44" t="s">
        <v>262</v>
      </c>
      <c r="C168" s="44" t="s">
        <v>137</v>
      </c>
      <c r="D168" s="44">
        <v>3</v>
      </c>
      <c r="E168" s="44" t="s">
        <v>1103</v>
      </c>
    </row>
    <row r="169" spans="1:5" ht="110.65" thickBot="1">
      <c r="A169" s="45" t="s">
        <v>263</v>
      </c>
      <c r="B169" s="44" t="s">
        <v>321</v>
      </c>
      <c r="C169" s="44" t="s">
        <v>16</v>
      </c>
      <c r="D169" s="44">
        <v>3</v>
      </c>
      <c r="E169" s="44" t="s">
        <v>1104</v>
      </c>
    </row>
    <row r="170" spans="1:5" ht="63">
      <c r="A170" s="44" t="s">
        <v>95</v>
      </c>
      <c r="B170" s="44" t="s">
        <v>96</v>
      </c>
      <c r="C170" s="44" t="s">
        <v>59</v>
      </c>
      <c r="D170" s="44">
        <v>4</v>
      </c>
      <c r="E170" s="44" t="s">
        <v>1105</v>
      </c>
    </row>
    <row r="171" spans="1:5" ht="236.25">
      <c r="A171" s="44" t="s">
        <v>264</v>
      </c>
      <c r="B171" s="44" t="s">
        <v>265</v>
      </c>
      <c r="C171" s="44" t="s">
        <v>266</v>
      </c>
      <c r="D171" s="44">
        <v>5</v>
      </c>
      <c r="E171" s="44" t="s">
        <v>1106</v>
      </c>
    </row>
    <row r="172" spans="1:5" ht="141.75">
      <c r="A172" s="44" t="s">
        <v>267</v>
      </c>
      <c r="B172" s="44" t="s">
        <v>268</v>
      </c>
      <c r="C172" s="44" t="s">
        <v>224</v>
      </c>
      <c r="D172" s="44">
        <v>4</v>
      </c>
      <c r="E172" s="44" t="s">
        <v>1107</v>
      </c>
    </row>
    <row r="173" spans="1:5" ht="220.5">
      <c r="A173" s="44" t="s">
        <v>269</v>
      </c>
      <c r="B173" s="44" t="s">
        <v>270</v>
      </c>
      <c r="C173" s="44" t="s">
        <v>271</v>
      </c>
      <c r="D173" s="44">
        <v>4</v>
      </c>
      <c r="E173" s="44" t="s">
        <v>1108</v>
      </c>
    </row>
    <row r="174" spans="1:5" ht="94.5">
      <c r="A174" s="44" t="s">
        <v>272</v>
      </c>
      <c r="B174" s="44" t="s">
        <v>786</v>
      </c>
      <c r="C174" s="44" t="s">
        <v>266</v>
      </c>
      <c r="D174" s="44">
        <v>5</v>
      </c>
      <c r="E174" s="44" t="s">
        <v>1109</v>
      </c>
    </row>
    <row r="175" spans="1:5" ht="78.75">
      <c r="A175" s="44" t="s">
        <v>273</v>
      </c>
      <c r="B175" s="44" t="s">
        <v>274</v>
      </c>
      <c r="C175" s="44" t="s">
        <v>271</v>
      </c>
      <c r="D175" s="44">
        <v>4</v>
      </c>
      <c r="E175" s="44" t="s">
        <v>1110</v>
      </c>
    </row>
    <row r="176" spans="1:5" ht="78.75">
      <c r="A176" s="44" t="s">
        <v>275</v>
      </c>
      <c r="B176" s="44" t="s">
        <v>323</v>
      </c>
      <c r="C176" s="44" t="s">
        <v>224</v>
      </c>
      <c r="D176" s="44">
        <v>5</v>
      </c>
      <c r="E176" s="44" t="s">
        <v>1111</v>
      </c>
    </row>
    <row r="177" spans="1:6" ht="110.25">
      <c r="A177" s="44" t="s">
        <v>276</v>
      </c>
      <c r="B177" s="44" t="s">
        <v>277</v>
      </c>
      <c r="C177" s="44" t="s">
        <v>46</v>
      </c>
      <c r="D177" s="44">
        <v>4</v>
      </c>
      <c r="E177" s="44" t="s">
        <v>1112</v>
      </c>
    </row>
    <row r="178" spans="1:6" ht="94.5">
      <c r="A178" s="44" t="s">
        <v>278</v>
      </c>
      <c r="B178" s="44" t="s">
        <v>279</v>
      </c>
      <c r="C178" s="44" t="s">
        <v>266</v>
      </c>
      <c r="D178" s="44">
        <v>5</v>
      </c>
      <c r="E178" s="44" t="s">
        <v>1113</v>
      </c>
      <c r="F178" s="44" t="s">
        <v>1114</v>
      </c>
    </row>
    <row r="179" spans="1:6" ht="94.5">
      <c r="A179" s="44" t="s">
        <v>280</v>
      </c>
      <c r="B179" s="44" t="s">
        <v>281</v>
      </c>
      <c r="C179" s="44" t="s">
        <v>266</v>
      </c>
      <c r="D179" s="44">
        <v>5</v>
      </c>
      <c r="E179" s="44" t="s">
        <v>1115</v>
      </c>
    </row>
    <row r="180" spans="1:6" ht="189">
      <c r="A180" s="44" t="s">
        <v>282</v>
      </c>
      <c r="B180" s="44" t="s">
        <v>283</v>
      </c>
      <c r="C180" s="44" t="s">
        <v>266</v>
      </c>
      <c r="D180" s="44">
        <v>5</v>
      </c>
      <c r="E180" s="44" t="s">
        <v>1116</v>
      </c>
    </row>
    <row r="181" spans="1:6" ht="110.25">
      <c r="A181" s="44" t="s">
        <v>284</v>
      </c>
      <c r="B181" s="44" t="s">
        <v>285</v>
      </c>
      <c r="C181" s="44" t="s">
        <v>41</v>
      </c>
      <c r="D181" s="44">
        <v>5</v>
      </c>
      <c r="E181" s="44" t="s">
        <v>1117</v>
      </c>
    </row>
    <row r="182" spans="1:6" ht="126">
      <c r="A182" s="44" t="s">
        <v>287</v>
      </c>
      <c r="B182" s="44" t="s">
        <v>288</v>
      </c>
      <c r="C182" s="44" t="s">
        <v>100</v>
      </c>
      <c r="D182" s="44">
        <v>4</v>
      </c>
      <c r="E182" s="44" t="s">
        <v>1118</v>
      </c>
    </row>
    <row r="183" spans="1:6" ht="78.75">
      <c r="A183" s="44" t="s">
        <v>289</v>
      </c>
      <c r="B183" s="44" t="s">
        <v>290</v>
      </c>
      <c r="C183" s="44" t="s">
        <v>100</v>
      </c>
      <c r="D183" s="44">
        <v>5</v>
      </c>
      <c r="E183" s="44" t="s">
        <v>1119</v>
      </c>
    </row>
    <row r="184" spans="1:6" ht="63">
      <c r="A184" s="44" t="s">
        <v>291</v>
      </c>
      <c r="B184" s="44" t="s">
        <v>292</v>
      </c>
      <c r="C184" s="44" t="s">
        <v>11</v>
      </c>
      <c r="D184" s="44">
        <v>5</v>
      </c>
      <c r="E184" s="44" t="s">
        <v>1120</v>
      </c>
    </row>
    <row r="185" spans="1:6" ht="94.5">
      <c r="A185" s="44" t="s">
        <v>293</v>
      </c>
      <c r="B185" s="44" t="s">
        <v>294</v>
      </c>
      <c r="C185" s="44" t="s">
        <v>266</v>
      </c>
      <c r="D185" s="44">
        <v>5</v>
      </c>
      <c r="E185" s="44" t="s">
        <v>1121</v>
      </c>
    </row>
    <row r="186" spans="1:6" ht="78.75">
      <c r="A186" s="44" t="s">
        <v>295</v>
      </c>
      <c r="B186" s="44" t="s">
        <v>296</v>
      </c>
      <c r="C186" s="44" t="s">
        <v>11</v>
      </c>
      <c r="D186" s="44">
        <v>5</v>
      </c>
      <c r="E186" s="44" t="s">
        <v>1122</v>
      </c>
    </row>
    <row r="187" spans="1:6" ht="78.75">
      <c r="A187" s="44" t="s">
        <v>297</v>
      </c>
      <c r="B187" s="44" t="s">
        <v>298</v>
      </c>
      <c r="C187" s="44" t="s">
        <v>299</v>
      </c>
      <c r="D187" s="44">
        <v>5</v>
      </c>
      <c r="E187" s="44" t="s">
        <v>1123</v>
      </c>
    </row>
    <row r="188" spans="1:6" ht="110.25">
      <c r="A188" s="44" t="s">
        <v>300</v>
      </c>
      <c r="B188" s="44" t="s">
        <v>301</v>
      </c>
      <c r="C188" s="44" t="s">
        <v>266</v>
      </c>
      <c r="D188" s="44">
        <v>5</v>
      </c>
      <c r="E188" s="44" t="s">
        <v>1124</v>
      </c>
    </row>
    <row r="189" spans="1:6" ht="79.150000000000006" thickBot="1">
      <c r="A189" s="45" t="s">
        <v>302</v>
      </c>
      <c r="B189" s="44" t="s">
        <v>303</v>
      </c>
      <c r="C189" s="44" t="s">
        <v>224</v>
      </c>
      <c r="D189" s="44">
        <v>5</v>
      </c>
      <c r="E189" s="44" t="s">
        <v>1125</v>
      </c>
    </row>
    <row r="190" spans="1:6" ht="94.5">
      <c r="A190" s="44" t="s">
        <v>195</v>
      </c>
      <c r="B190" s="44" t="s">
        <v>196</v>
      </c>
      <c r="C190" s="44" t="s">
        <v>41</v>
      </c>
      <c r="D190" s="44">
        <v>5</v>
      </c>
      <c r="E190" s="44" t="s">
        <v>1126</v>
      </c>
    </row>
    <row r="191" spans="1:6" ht="79.150000000000006" thickBot="1">
      <c r="A191" s="45" t="s">
        <v>197</v>
      </c>
      <c r="B191" s="44" t="s">
        <v>198</v>
      </c>
      <c r="C191" s="44" t="s">
        <v>46</v>
      </c>
      <c r="D191" s="44">
        <v>5</v>
      </c>
      <c r="E191" s="44" t="s">
        <v>1127</v>
      </c>
    </row>
    <row r="192" spans="1:6" ht="94.5">
      <c r="A192" s="44" t="s">
        <v>199</v>
      </c>
      <c r="B192" s="44" t="s">
        <v>200</v>
      </c>
      <c r="C192" s="44" t="s">
        <v>201</v>
      </c>
      <c r="D192" s="44">
        <v>5</v>
      </c>
      <c r="E192" s="44" t="s">
        <v>1128</v>
      </c>
    </row>
    <row r="193" spans="1:6" ht="94.5">
      <c r="A193" s="44" t="s">
        <v>204</v>
      </c>
      <c r="B193" s="44" t="s">
        <v>205</v>
      </c>
      <c r="C193" s="44" t="s">
        <v>41</v>
      </c>
      <c r="D193" s="44">
        <v>5</v>
      </c>
      <c r="E193" s="44" t="s">
        <v>1129</v>
      </c>
    </row>
    <row r="194" spans="1:6" ht="94.5">
      <c r="A194" s="44" t="s">
        <v>210</v>
      </c>
      <c r="B194" s="44" t="s">
        <v>211</v>
      </c>
      <c r="C194" s="44" t="s">
        <v>100</v>
      </c>
      <c r="D194" s="44">
        <v>5</v>
      </c>
      <c r="E194" s="44" t="s">
        <v>1130</v>
      </c>
    </row>
    <row r="195" spans="1:6" ht="78.75">
      <c r="A195" s="44" t="s">
        <v>212</v>
      </c>
      <c r="B195" s="44" t="s">
        <v>213</v>
      </c>
      <c r="C195" s="44" t="s">
        <v>41</v>
      </c>
      <c r="D195" s="44">
        <v>5</v>
      </c>
      <c r="E195" s="44" t="s">
        <v>1131</v>
      </c>
    </row>
    <row r="196" spans="1:6" ht="94.5">
      <c r="A196" s="44" t="s">
        <v>214</v>
      </c>
      <c r="B196" s="44" t="s">
        <v>215</v>
      </c>
      <c r="C196" s="44" t="s">
        <v>146</v>
      </c>
      <c r="D196" s="44">
        <v>5</v>
      </c>
      <c r="E196" s="44" t="s">
        <v>1132</v>
      </c>
    </row>
    <row r="197" spans="1:6" ht="78.75">
      <c r="A197" s="44" t="s">
        <v>216</v>
      </c>
      <c r="B197" s="44" t="s">
        <v>217</v>
      </c>
      <c r="C197" s="44" t="s">
        <v>16</v>
      </c>
      <c r="D197" s="44">
        <v>5</v>
      </c>
      <c r="E197" s="44" t="s">
        <v>1133</v>
      </c>
    </row>
    <row r="198" spans="1:6" ht="110.25">
      <c r="A198" s="44" t="s">
        <v>206</v>
      </c>
      <c r="B198" s="44" t="s">
        <v>207</v>
      </c>
      <c r="C198" s="44" t="s">
        <v>208</v>
      </c>
      <c r="D198" s="44">
        <v>5</v>
      </c>
      <c r="E198" s="44" t="s">
        <v>943</v>
      </c>
    </row>
    <row r="199" spans="1:6" ht="173.25">
      <c r="A199" s="44" t="s">
        <v>218</v>
      </c>
      <c r="B199" s="44" t="s">
        <v>219</v>
      </c>
      <c r="C199" s="44" t="s">
        <v>8</v>
      </c>
      <c r="D199" s="44">
        <v>4</v>
      </c>
      <c r="E199" s="44" t="s">
        <v>1134</v>
      </c>
    </row>
    <row r="200" spans="1:6" ht="110.25">
      <c r="A200" s="44" t="s">
        <v>746</v>
      </c>
      <c r="B200" s="44" t="s">
        <v>220</v>
      </c>
      <c r="C200" s="44" t="s">
        <v>221</v>
      </c>
      <c r="D200" s="44">
        <v>4</v>
      </c>
      <c r="E200" s="44" t="s">
        <v>1135</v>
      </c>
    </row>
    <row r="201" spans="1:6" ht="110.25">
      <c r="A201" s="44" t="s">
        <v>222</v>
      </c>
      <c r="B201" s="44" t="s">
        <v>223</v>
      </c>
      <c r="C201" s="44" t="s">
        <v>224</v>
      </c>
      <c r="D201" s="44">
        <v>5</v>
      </c>
      <c r="E201" s="44" t="s">
        <v>1136</v>
      </c>
    </row>
    <row r="202" spans="1:6" ht="110.25">
      <c r="A202" s="44" t="s">
        <v>225</v>
      </c>
      <c r="B202" s="44" t="s">
        <v>226</v>
      </c>
      <c r="C202" s="44" t="s">
        <v>121</v>
      </c>
      <c r="D202" s="44">
        <v>5</v>
      </c>
      <c r="E202" s="44" t="s">
        <v>1137</v>
      </c>
    </row>
    <row r="203" spans="1:6" ht="94.5">
      <c r="A203" s="44" t="s">
        <v>227</v>
      </c>
      <c r="B203" s="44" t="s">
        <v>228</v>
      </c>
      <c r="C203" s="44" t="s">
        <v>11</v>
      </c>
      <c r="D203" s="44">
        <v>5</v>
      </c>
      <c r="E203" s="44" t="s">
        <v>1138</v>
      </c>
    </row>
    <row r="204" spans="1:6" ht="78.75">
      <c r="A204" s="44" t="s">
        <v>229</v>
      </c>
      <c r="B204" s="44" t="s">
        <v>230</v>
      </c>
      <c r="C204" s="44" t="s">
        <v>38</v>
      </c>
      <c r="D204" s="44">
        <v>5</v>
      </c>
      <c r="E204" s="44" t="s">
        <v>1139</v>
      </c>
    </row>
    <row r="205" spans="1:6" ht="173.25">
      <c r="A205" s="44" t="s">
        <v>231</v>
      </c>
      <c r="B205" s="44" t="s">
        <v>232</v>
      </c>
      <c r="C205" s="44" t="s">
        <v>233</v>
      </c>
      <c r="D205" s="44">
        <v>5</v>
      </c>
      <c r="E205" s="44" t="s">
        <v>1140</v>
      </c>
    </row>
    <row r="206" spans="1:6" ht="94.5">
      <c r="A206" s="44" t="s">
        <v>234</v>
      </c>
      <c r="B206" s="44" t="s">
        <v>318</v>
      </c>
      <c r="C206" s="44" t="s">
        <v>177</v>
      </c>
      <c r="D206" s="44">
        <v>5</v>
      </c>
      <c r="E206" s="44" t="s">
        <v>1141</v>
      </c>
    </row>
    <row r="207" spans="1:6" ht="63">
      <c r="A207" s="44" t="s">
        <v>235</v>
      </c>
      <c r="B207" s="44" t="s">
        <v>236</v>
      </c>
      <c r="C207" s="44" t="s">
        <v>59</v>
      </c>
      <c r="D207" s="44">
        <v>5</v>
      </c>
      <c r="E207" s="44" t="s">
        <v>1142</v>
      </c>
    </row>
    <row r="208" spans="1:6" ht="78.75">
      <c r="A208" s="44" t="s">
        <v>237</v>
      </c>
      <c r="B208" s="44" t="s">
        <v>319</v>
      </c>
      <c r="C208" s="44" t="s">
        <v>41</v>
      </c>
      <c r="D208" s="44">
        <v>4</v>
      </c>
      <c r="E208" s="44" t="s">
        <v>1143</v>
      </c>
      <c r="F208" s="44" t="s">
        <v>1144</v>
      </c>
    </row>
    <row r="209" spans="1:6" ht="78.75">
      <c r="A209" s="44" t="s">
        <v>202</v>
      </c>
      <c r="B209" s="44" t="s">
        <v>203</v>
      </c>
      <c r="C209" s="44" t="s">
        <v>41</v>
      </c>
      <c r="D209" s="44">
        <v>5</v>
      </c>
      <c r="E209" s="44" t="s">
        <v>1145</v>
      </c>
      <c r="F209" s="44" t="s">
        <v>1146</v>
      </c>
    </row>
    <row r="210" spans="1:6" ht="110.25">
      <c r="A210" s="44" t="s">
        <v>186</v>
      </c>
      <c r="B210" s="44" t="s">
        <v>187</v>
      </c>
      <c r="C210" s="44" t="s">
        <v>188</v>
      </c>
      <c r="D210" s="44">
        <v>4</v>
      </c>
      <c r="E210" s="44" t="s">
        <v>1147</v>
      </c>
      <c r="F210" s="44" t="s">
        <v>1148</v>
      </c>
    </row>
    <row r="211" spans="1:6" ht="78.75">
      <c r="A211" s="44" t="s">
        <v>39</v>
      </c>
      <c r="B211" s="44" t="s">
        <v>40</v>
      </c>
      <c r="C211" s="44" t="s">
        <v>41</v>
      </c>
      <c r="D211" s="44">
        <v>4</v>
      </c>
      <c r="E211" s="44" t="s">
        <v>815</v>
      </c>
    </row>
    <row r="212" spans="1:6" ht="110.25">
      <c r="A212" s="44" t="s">
        <v>117</v>
      </c>
      <c r="B212" s="44" t="s">
        <v>118</v>
      </c>
      <c r="C212" s="44" t="s">
        <v>8</v>
      </c>
      <c r="D212" s="44">
        <v>5</v>
      </c>
      <c r="E212" s="44" t="s">
        <v>816</v>
      </c>
    </row>
    <row r="213" spans="1:6" ht="110.25">
      <c r="A213" s="44" t="s">
        <v>140</v>
      </c>
      <c r="B213" s="44" t="s">
        <v>141</v>
      </c>
      <c r="C213" s="44" t="s">
        <v>41</v>
      </c>
      <c r="D213" s="44">
        <v>4</v>
      </c>
      <c r="E213" s="44" t="s">
        <v>817</v>
      </c>
    </row>
    <row r="214" spans="1:6" ht="78.75">
      <c r="A214" s="44" t="s">
        <v>147</v>
      </c>
      <c r="B214" s="44" t="s">
        <v>148</v>
      </c>
      <c r="C214" s="44" t="s">
        <v>146</v>
      </c>
      <c r="D214" s="44">
        <v>4</v>
      </c>
      <c r="E214" s="44" t="s">
        <v>818</v>
      </c>
    </row>
    <row r="215" spans="1:6" ht="63">
      <c r="A215" s="44" t="s">
        <v>169</v>
      </c>
      <c r="B215" s="44" t="s">
        <v>170</v>
      </c>
      <c r="C215" s="44" t="s">
        <v>8</v>
      </c>
      <c r="D215" s="44">
        <v>5</v>
      </c>
      <c r="E215" s="44" t="s">
        <v>819</v>
      </c>
    </row>
    <row r="216" spans="1:6" ht="78.75">
      <c r="A216" s="44" t="s">
        <v>186</v>
      </c>
      <c r="B216" s="44" t="s">
        <v>187</v>
      </c>
      <c r="C216" s="44" t="s">
        <v>188</v>
      </c>
      <c r="D216" s="44">
        <v>3</v>
      </c>
      <c r="E216" s="44" t="s">
        <v>820</v>
      </c>
    </row>
    <row r="217" spans="1:6" ht="78.75">
      <c r="A217" s="44" t="s">
        <v>252</v>
      </c>
      <c r="B217" s="44" t="s">
        <v>320</v>
      </c>
      <c r="C217" s="44" t="s">
        <v>26</v>
      </c>
      <c r="D217" s="44">
        <v>5</v>
      </c>
      <c r="E217" s="44" t="s">
        <v>821</v>
      </c>
    </row>
    <row r="218" spans="1:6" ht="78.75">
      <c r="A218" s="44" t="s">
        <v>284</v>
      </c>
      <c r="B218" s="44" t="s">
        <v>285</v>
      </c>
      <c r="C218" s="44" t="s">
        <v>41</v>
      </c>
      <c r="D218" s="44">
        <v>5</v>
      </c>
      <c r="E218" s="44" t="s">
        <v>822</v>
      </c>
    </row>
    <row r="219" spans="1:6">
      <c r="A219" s="42"/>
      <c r="B219" s="43"/>
      <c r="C219" s="43"/>
      <c r="D219" s="37"/>
      <c r="E219" s="39"/>
      <c r="F219" s="3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23"/>
  <sheetViews>
    <sheetView topLeftCell="A145" zoomScale="63" workbookViewId="0">
      <selection activeCell="A153" sqref="A153:XFD153"/>
    </sheetView>
  </sheetViews>
  <sheetFormatPr defaultRowHeight="34.5" customHeight="1"/>
  <cols>
    <col min="1" max="1" width="29.06640625" style="44" bestFit="1" customWidth="1"/>
    <col min="2" max="2" width="36.53125" style="44" customWidth="1"/>
    <col min="3" max="3" width="33.46484375" style="44" customWidth="1"/>
    <col min="4" max="4" width="7.6640625" style="44" bestFit="1" customWidth="1"/>
    <col min="5" max="6" width="29.6640625" style="44" customWidth="1"/>
    <col min="7" max="16384" width="9.06640625" style="44"/>
  </cols>
  <sheetData>
    <row r="1" spans="1:6" ht="34.5" customHeight="1">
      <c r="A1" s="44" t="s">
        <v>1</v>
      </c>
      <c r="B1" s="44" t="s">
        <v>3</v>
      </c>
      <c r="C1" s="44" t="s">
        <v>4</v>
      </c>
      <c r="D1" s="44" t="s">
        <v>600</v>
      </c>
      <c r="E1" s="44" t="s">
        <v>601</v>
      </c>
      <c r="F1" s="44" t="s">
        <v>602</v>
      </c>
    </row>
    <row r="2" spans="1:6" ht="34.5" customHeight="1">
      <c r="A2" s="44" t="s">
        <v>367</v>
      </c>
      <c r="B2" s="44" t="s">
        <v>368</v>
      </c>
      <c r="C2" s="44" t="s">
        <v>266</v>
      </c>
      <c r="D2" s="44">
        <v>4</v>
      </c>
      <c r="E2" s="44" t="s">
        <v>603</v>
      </c>
      <c r="F2" s="44" t="s">
        <v>604</v>
      </c>
    </row>
    <row r="3" spans="1:6" ht="34.5" customHeight="1">
      <c r="A3" s="44" t="s">
        <v>369</v>
      </c>
      <c r="B3" s="44" t="s">
        <v>370</v>
      </c>
      <c r="C3" s="44" t="s">
        <v>74</v>
      </c>
      <c r="D3" s="44">
        <v>3</v>
      </c>
      <c r="E3" s="44" t="s">
        <v>605</v>
      </c>
      <c r="F3" s="44" t="s">
        <v>606</v>
      </c>
    </row>
    <row r="4" spans="1:6" ht="34.5" customHeight="1">
      <c r="A4" s="44" t="s">
        <v>371</v>
      </c>
      <c r="B4" s="44" t="s">
        <v>372</v>
      </c>
      <c r="C4" s="44" t="s">
        <v>100</v>
      </c>
      <c r="D4" s="44">
        <v>4</v>
      </c>
      <c r="E4" s="44" t="s">
        <v>607</v>
      </c>
      <c r="F4" s="44" t="s">
        <v>608</v>
      </c>
    </row>
    <row r="5" spans="1:6" ht="34.5" customHeight="1">
      <c r="A5" s="44" t="s">
        <v>373</v>
      </c>
      <c r="B5" s="44" t="s">
        <v>374</v>
      </c>
      <c r="C5" s="44" t="s">
        <v>100</v>
      </c>
      <c r="D5" s="44">
        <v>4</v>
      </c>
      <c r="E5" s="44" t="s">
        <v>609</v>
      </c>
      <c r="F5" s="44" t="s">
        <v>610</v>
      </c>
    </row>
    <row r="6" spans="1:6" ht="34.5" customHeight="1">
      <c r="A6" s="44" t="s">
        <v>375</v>
      </c>
      <c r="B6" s="44" t="s">
        <v>376</v>
      </c>
      <c r="C6" s="44" t="s">
        <v>100</v>
      </c>
      <c r="D6" s="44">
        <v>4</v>
      </c>
      <c r="E6" s="44" t="s">
        <v>611</v>
      </c>
      <c r="F6" s="44" t="s">
        <v>612</v>
      </c>
    </row>
    <row r="7" spans="1:6" ht="34.5" customHeight="1">
      <c r="A7" s="44" t="s">
        <v>377</v>
      </c>
      <c r="B7" s="44" t="s">
        <v>378</v>
      </c>
      <c r="C7" s="44" t="s">
        <v>100</v>
      </c>
      <c r="D7" s="44">
        <v>3</v>
      </c>
      <c r="E7" s="44" t="s">
        <v>613</v>
      </c>
      <c r="F7" s="44" t="s">
        <v>614</v>
      </c>
    </row>
    <row r="8" spans="1:6" ht="34.5" customHeight="1">
      <c r="A8" s="44" t="s">
        <v>381</v>
      </c>
      <c r="B8" s="44" t="s">
        <v>382</v>
      </c>
      <c r="C8" s="44" t="s">
        <v>266</v>
      </c>
      <c r="D8" s="44">
        <v>5</v>
      </c>
      <c r="E8" s="44" t="s">
        <v>615</v>
      </c>
      <c r="F8" s="44" t="s">
        <v>616</v>
      </c>
    </row>
    <row r="9" spans="1:6" ht="34.5" customHeight="1">
      <c r="A9" s="44" t="s">
        <v>384</v>
      </c>
      <c r="B9" s="44" t="s">
        <v>385</v>
      </c>
      <c r="C9" s="44" t="s">
        <v>8</v>
      </c>
      <c r="D9" s="44">
        <v>5</v>
      </c>
      <c r="E9" s="44" t="s">
        <v>617</v>
      </c>
      <c r="F9" s="44" t="s">
        <v>618</v>
      </c>
    </row>
    <row r="10" spans="1:6" ht="34.5" customHeight="1">
      <c r="A10" s="44" t="s">
        <v>386</v>
      </c>
      <c r="B10" s="44" t="s">
        <v>539</v>
      </c>
      <c r="C10" s="44" t="s">
        <v>346</v>
      </c>
      <c r="D10" s="44">
        <v>5</v>
      </c>
      <c r="E10" s="44" t="s">
        <v>619</v>
      </c>
      <c r="F10" s="44" t="s">
        <v>620</v>
      </c>
    </row>
    <row r="11" spans="1:6" ht="34.5" customHeight="1">
      <c r="A11" s="44" t="s">
        <v>387</v>
      </c>
      <c r="B11" s="44" t="s">
        <v>388</v>
      </c>
      <c r="C11" s="44" t="s">
        <v>346</v>
      </c>
      <c r="D11" s="44">
        <v>5</v>
      </c>
      <c r="E11" s="44" t="s">
        <v>621</v>
      </c>
      <c r="F11" s="44" t="s">
        <v>622</v>
      </c>
    </row>
    <row r="12" spans="1:6" ht="34.5" customHeight="1">
      <c r="A12" s="44" t="s">
        <v>389</v>
      </c>
      <c r="B12" s="44" t="s">
        <v>390</v>
      </c>
      <c r="C12" s="44" t="s">
        <v>266</v>
      </c>
      <c r="D12" s="44">
        <v>5</v>
      </c>
      <c r="E12" s="44" t="s">
        <v>623</v>
      </c>
      <c r="F12" s="44" t="s">
        <v>624</v>
      </c>
    </row>
    <row r="13" spans="1:6" ht="34.5" customHeight="1">
      <c r="A13" s="44" t="s">
        <v>383</v>
      </c>
      <c r="B13" s="44" t="s">
        <v>538</v>
      </c>
      <c r="C13" s="44" t="s">
        <v>8</v>
      </c>
      <c r="D13" s="44">
        <v>5</v>
      </c>
      <c r="E13" s="44" t="s">
        <v>625</v>
      </c>
      <c r="F13" s="44" t="s">
        <v>626</v>
      </c>
    </row>
    <row r="14" spans="1:6" ht="34.5" customHeight="1">
      <c r="A14" s="44" t="s">
        <v>42</v>
      </c>
      <c r="B14" s="44" t="s">
        <v>43</v>
      </c>
      <c r="C14" s="44" t="s">
        <v>11</v>
      </c>
      <c r="D14" s="44">
        <v>5</v>
      </c>
      <c r="E14" s="44" t="s">
        <v>627</v>
      </c>
    </row>
    <row r="15" spans="1:6" ht="34.5" customHeight="1">
      <c r="A15" s="44" t="s">
        <v>44</v>
      </c>
      <c r="B15" s="44" t="s">
        <v>45</v>
      </c>
      <c r="C15" s="44" t="s">
        <v>46</v>
      </c>
      <c r="D15" s="44">
        <v>5</v>
      </c>
      <c r="E15" s="44" t="s">
        <v>628</v>
      </c>
    </row>
    <row r="16" spans="1:6" ht="34.5" customHeight="1">
      <c r="A16" s="44" t="s">
        <v>47</v>
      </c>
      <c r="B16" s="44" t="s">
        <v>48</v>
      </c>
      <c r="C16" s="44" t="s">
        <v>11</v>
      </c>
      <c r="D16" s="44">
        <v>4</v>
      </c>
      <c r="E16" s="44" t="s">
        <v>629</v>
      </c>
    </row>
    <row r="17" spans="1:6" ht="34.5" customHeight="1">
      <c r="A17" s="44" t="s">
        <v>49</v>
      </c>
      <c r="B17" s="44" t="s">
        <v>305</v>
      </c>
      <c r="C17" s="44" t="s">
        <v>46</v>
      </c>
      <c r="D17" s="44">
        <v>4</v>
      </c>
      <c r="E17" s="44" t="s">
        <v>630</v>
      </c>
    </row>
    <row r="18" spans="1:6" ht="34.5" customHeight="1">
      <c r="A18" s="44" t="s">
        <v>52</v>
      </c>
      <c r="B18" s="44" t="s">
        <v>53</v>
      </c>
      <c r="C18" s="44" t="s">
        <v>54</v>
      </c>
      <c r="D18" s="44">
        <v>4</v>
      </c>
      <c r="E18" s="44" t="s">
        <v>631</v>
      </c>
    </row>
    <row r="19" spans="1:6" ht="34.5" customHeight="1">
      <c r="A19" s="44" t="s">
        <v>57</v>
      </c>
      <c r="B19" s="44" t="s">
        <v>58</v>
      </c>
      <c r="C19" s="44" t="s">
        <v>59</v>
      </c>
      <c r="D19" s="44">
        <v>3</v>
      </c>
      <c r="E19" s="44" t="s">
        <v>632</v>
      </c>
    </row>
    <row r="20" spans="1:6" ht="34.5" customHeight="1">
      <c r="A20" s="44" t="s">
        <v>61</v>
      </c>
      <c r="B20" s="44" t="s">
        <v>62</v>
      </c>
      <c r="C20" s="44" t="s">
        <v>308</v>
      </c>
      <c r="D20" s="44">
        <v>4</v>
      </c>
      <c r="E20" s="44" t="s">
        <v>633</v>
      </c>
    </row>
    <row r="21" spans="1:6" ht="34.5" customHeight="1">
      <c r="A21" s="44" t="s">
        <v>63</v>
      </c>
      <c r="B21" s="44" t="s">
        <v>64</v>
      </c>
      <c r="C21" s="44" t="s">
        <v>309</v>
      </c>
      <c r="D21" s="44">
        <v>4</v>
      </c>
      <c r="E21" s="44" t="s">
        <v>634</v>
      </c>
    </row>
    <row r="22" spans="1:6" ht="34.5" customHeight="1" thickBot="1">
      <c r="A22" s="45" t="s">
        <v>65</v>
      </c>
      <c r="B22" s="44" t="s">
        <v>66</v>
      </c>
      <c r="C22" s="44" t="s">
        <v>310</v>
      </c>
      <c r="D22" s="44">
        <v>4</v>
      </c>
      <c r="E22" s="44" t="s">
        <v>635</v>
      </c>
    </row>
    <row r="23" spans="1:6" ht="34.5" customHeight="1">
      <c r="A23" s="44" t="s">
        <v>67</v>
      </c>
      <c r="B23" s="44" t="s">
        <v>636</v>
      </c>
      <c r="C23" s="44" t="s">
        <v>304</v>
      </c>
      <c r="D23" s="44">
        <v>3</v>
      </c>
      <c r="E23" s="44" t="s">
        <v>637</v>
      </c>
      <c r="F23" s="44" t="s">
        <v>638</v>
      </c>
    </row>
    <row r="24" spans="1:6" ht="34.5" customHeight="1">
      <c r="A24" s="44" t="s">
        <v>70</v>
      </c>
      <c r="B24" s="44" t="s">
        <v>71</v>
      </c>
      <c r="C24" s="44" t="s">
        <v>16</v>
      </c>
      <c r="D24" s="44">
        <v>3</v>
      </c>
      <c r="E24" s="44" t="s">
        <v>639</v>
      </c>
      <c r="F24" s="44" t="s">
        <v>640</v>
      </c>
    </row>
    <row r="25" spans="1:6" ht="34.5" customHeight="1">
      <c r="A25" s="44" t="s">
        <v>72</v>
      </c>
      <c r="B25" s="44" t="s">
        <v>73</v>
      </c>
      <c r="C25" s="44" t="s">
        <v>74</v>
      </c>
      <c r="D25" s="44">
        <v>3</v>
      </c>
      <c r="E25" s="44" t="s">
        <v>641</v>
      </c>
      <c r="F25" s="44" t="s">
        <v>642</v>
      </c>
    </row>
    <row r="26" spans="1:6" ht="34.5" customHeight="1">
      <c r="A26" s="44" t="s">
        <v>75</v>
      </c>
      <c r="B26" s="44" t="s">
        <v>312</v>
      </c>
      <c r="C26" s="44" t="s">
        <v>8</v>
      </c>
      <c r="D26" s="44">
        <v>5</v>
      </c>
      <c r="E26" s="44" t="s">
        <v>643</v>
      </c>
      <c r="F26" s="44" t="s">
        <v>644</v>
      </c>
    </row>
    <row r="27" spans="1:6" ht="34.5" customHeight="1">
      <c r="A27" s="44" t="s">
        <v>76</v>
      </c>
      <c r="B27" s="44" t="s">
        <v>77</v>
      </c>
      <c r="C27" s="44" t="s">
        <v>11</v>
      </c>
      <c r="D27" s="44">
        <v>5</v>
      </c>
      <c r="E27" s="44" t="s">
        <v>645</v>
      </c>
    </row>
    <row r="28" spans="1:6" ht="34.5" customHeight="1">
      <c r="A28" s="44" t="s">
        <v>78</v>
      </c>
      <c r="B28" s="44" t="s">
        <v>79</v>
      </c>
      <c r="C28" s="44" t="s">
        <v>80</v>
      </c>
      <c r="D28" s="44">
        <v>4</v>
      </c>
      <c r="E28" s="44" t="s">
        <v>646</v>
      </c>
      <c r="F28" s="44" t="s">
        <v>647</v>
      </c>
    </row>
    <row r="29" spans="1:6" ht="34.5" customHeight="1">
      <c r="A29" s="44" t="s">
        <v>81</v>
      </c>
      <c r="B29" s="44" t="s">
        <v>82</v>
      </c>
      <c r="C29" s="44" t="s">
        <v>11</v>
      </c>
      <c r="D29" s="44">
        <v>4</v>
      </c>
      <c r="E29" s="44" t="s">
        <v>648</v>
      </c>
      <c r="F29" s="44" t="s">
        <v>649</v>
      </c>
    </row>
    <row r="30" spans="1:6" ht="34.5" customHeight="1">
      <c r="A30" s="44" t="s">
        <v>83</v>
      </c>
      <c r="B30" s="44" t="s">
        <v>84</v>
      </c>
      <c r="C30" s="44" t="s">
        <v>25</v>
      </c>
      <c r="D30" s="44">
        <v>5</v>
      </c>
      <c r="E30" s="44" t="s">
        <v>650</v>
      </c>
      <c r="F30" s="44" t="s">
        <v>651</v>
      </c>
    </row>
    <row r="31" spans="1:6" ht="34.5" customHeight="1">
      <c r="A31" s="44" t="s">
        <v>87</v>
      </c>
      <c r="B31" s="44" t="s">
        <v>88</v>
      </c>
      <c r="C31" s="44" t="s">
        <v>89</v>
      </c>
      <c r="D31" s="44">
        <v>5</v>
      </c>
      <c r="E31" s="44" t="s">
        <v>652</v>
      </c>
      <c r="F31" s="44" t="s">
        <v>653</v>
      </c>
    </row>
    <row r="32" spans="1:6" ht="34.5" customHeight="1">
      <c r="A32" s="44" t="s">
        <v>85</v>
      </c>
      <c r="B32" s="44" t="s">
        <v>86</v>
      </c>
      <c r="C32" s="44" t="s">
        <v>8</v>
      </c>
      <c r="D32" s="44">
        <v>4</v>
      </c>
      <c r="E32" s="44" t="s">
        <v>654</v>
      </c>
    </row>
    <row r="33" spans="1:6" ht="34.5" customHeight="1">
      <c r="A33" s="44" t="s">
        <v>90</v>
      </c>
      <c r="B33" s="44" t="s">
        <v>91</v>
      </c>
      <c r="C33" s="44" t="s">
        <v>92</v>
      </c>
      <c r="D33" s="44">
        <v>5</v>
      </c>
      <c r="E33" s="44" t="s">
        <v>655</v>
      </c>
      <c r="F33" s="44" t="s">
        <v>656</v>
      </c>
    </row>
    <row r="34" spans="1:6" ht="34.5" customHeight="1">
      <c r="A34" s="44" t="s">
        <v>68</v>
      </c>
      <c r="B34" s="44" t="s">
        <v>69</v>
      </c>
      <c r="C34" s="44" t="s">
        <v>41</v>
      </c>
      <c r="D34" s="44">
        <v>4</v>
      </c>
      <c r="E34" s="44" t="s">
        <v>657</v>
      </c>
      <c r="F34" s="44" t="s">
        <v>658</v>
      </c>
    </row>
    <row r="35" spans="1:6" ht="34.5" customHeight="1">
      <c r="A35" s="44" t="s">
        <v>93</v>
      </c>
      <c r="B35" s="44" t="s">
        <v>94</v>
      </c>
      <c r="C35" s="44" t="s">
        <v>29</v>
      </c>
      <c r="D35" s="44">
        <v>4</v>
      </c>
      <c r="E35" s="44" t="s">
        <v>660</v>
      </c>
    </row>
    <row r="36" spans="1:6" ht="34.5" customHeight="1">
      <c r="A36" s="44" t="s">
        <v>95</v>
      </c>
      <c r="B36" s="44" t="s">
        <v>96</v>
      </c>
      <c r="C36" s="44" t="s">
        <v>59</v>
      </c>
      <c r="D36" s="44">
        <v>3</v>
      </c>
      <c r="E36" s="44" t="s">
        <v>661</v>
      </c>
    </row>
    <row r="37" spans="1:6" ht="34.5" customHeight="1">
      <c r="A37" s="44" t="s">
        <v>97</v>
      </c>
      <c r="B37" s="44" t="s">
        <v>659</v>
      </c>
      <c r="C37" s="44" t="s">
        <v>89</v>
      </c>
      <c r="D37" s="44">
        <v>3</v>
      </c>
      <c r="E37" s="44" t="s">
        <v>662</v>
      </c>
    </row>
    <row r="38" spans="1:6" ht="34.5" customHeight="1">
      <c r="A38" s="44" t="s">
        <v>98</v>
      </c>
      <c r="B38" s="44" t="s">
        <v>99</v>
      </c>
      <c r="C38" s="44" t="s">
        <v>100</v>
      </c>
      <c r="D38" s="44">
        <v>4</v>
      </c>
      <c r="E38" s="44" t="s">
        <v>663</v>
      </c>
    </row>
    <row r="39" spans="1:6" ht="34.5" customHeight="1">
      <c r="A39" s="44" t="s">
        <v>101</v>
      </c>
      <c r="B39" s="44" t="s">
        <v>102</v>
      </c>
      <c r="C39" s="44" t="s">
        <v>100</v>
      </c>
      <c r="D39" s="44">
        <v>4</v>
      </c>
      <c r="E39" s="44" t="s">
        <v>664</v>
      </c>
    </row>
    <row r="40" spans="1:6" ht="34.5" customHeight="1">
      <c r="A40" s="44" t="s">
        <v>103</v>
      </c>
      <c r="B40" s="44" t="s">
        <v>104</v>
      </c>
      <c r="C40" s="44" t="s">
        <v>29</v>
      </c>
      <c r="D40" s="44">
        <v>5</v>
      </c>
      <c r="E40" s="44" t="s">
        <v>665</v>
      </c>
    </row>
    <row r="41" spans="1:6" ht="34.5" customHeight="1">
      <c r="A41" s="44" t="s">
        <v>105</v>
      </c>
      <c r="B41" s="44" t="s">
        <v>314</v>
      </c>
      <c r="C41" s="44" t="s">
        <v>89</v>
      </c>
      <c r="D41" s="44">
        <v>4</v>
      </c>
      <c r="E41" s="44" t="s">
        <v>666</v>
      </c>
    </row>
    <row r="42" spans="1:6" ht="34.5" customHeight="1">
      <c r="A42" s="44" t="s">
        <v>107</v>
      </c>
      <c r="B42" s="44" t="s">
        <v>108</v>
      </c>
      <c r="C42" s="44" t="s">
        <v>100</v>
      </c>
      <c r="D42" s="44">
        <v>3</v>
      </c>
      <c r="E42" s="44" t="s">
        <v>667</v>
      </c>
    </row>
    <row r="43" spans="1:6" ht="34.5" customHeight="1">
      <c r="A43" s="44" t="s">
        <v>109</v>
      </c>
      <c r="B43" s="44" t="s">
        <v>110</v>
      </c>
      <c r="C43" s="44" t="s">
        <v>8</v>
      </c>
      <c r="D43" s="44">
        <v>4</v>
      </c>
      <c r="E43" s="44" t="s">
        <v>668</v>
      </c>
    </row>
    <row r="44" spans="1:6" ht="34.5" customHeight="1">
      <c r="A44" s="44" t="s">
        <v>111</v>
      </c>
      <c r="B44" s="44" t="s">
        <v>112</v>
      </c>
      <c r="C44" s="44" t="s">
        <v>16</v>
      </c>
      <c r="D44" s="44">
        <v>5</v>
      </c>
      <c r="E44" s="44" t="s">
        <v>669</v>
      </c>
    </row>
    <row r="45" spans="1:6" ht="34.5" customHeight="1">
      <c r="A45" s="44" t="s">
        <v>113</v>
      </c>
      <c r="B45" s="44" t="s">
        <v>114</v>
      </c>
      <c r="C45" s="44" t="s">
        <v>16</v>
      </c>
      <c r="D45" s="44">
        <v>4</v>
      </c>
      <c r="E45" s="44" t="s">
        <v>670</v>
      </c>
    </row>
    <row r="46" spans="1:6" ht="34.5" customHeight="1" thickBot="1">
      <c r="A46" s="45" t="s">
        <v>115</v>
      </c>
      <c r="B46" s="44" t="s">
        <v>116</v>
      </c>
      <c r="C46" s="44" t="s">
        <v>41</v>
      </c>
      <c r="D46" s="44">
        <v>5</v>
      </c>
      <c r="E46" s="44" t="s">
        <v>671</v>
      </c>
    </row>
    <row r="47" spans="1:6" ht="34.5" customHeight="1">
      <c r="A47" s="44" t="s">
        <v>511</v>
      </c>
      <c r="B47" s="44" t="s">
        <v>512</v>
      </c>
      <c r="C47" s="44" t="s">
        <v>41</v>
      </c>
      <c r="D47" s="44">
        <v>5</v>
      </c>
      <c r="E47" s="44" t="s">
        <v>672</v>
      </c>
      <c r="F47" s="44" t="s">
        <v>673</v>
      </c>
    </row>
    <row r="48" spans="1:6" ht="34.5" customHeight="1">
      <c r="A48" s="44" t="s">
        <v>527</v>
      </c>
      <c r="B48" s="44" t="s">
        <v>528</v>
      </c>
      <c r="C48" s="44" t="s">
        <v>8</v>
      </c>
      <c r="D48" s="44">
        <v>5</v>
      </c>
      <c r="E48" s="44" t="s">
        <v>674</v>
      </c>
      <c r="F48" s="44" t="s">
        <v>675</v>
      </c>
    </row>
    <row r="49" spans="1:6" ht="34.5" customHeight="1">
      <c r="A49" s="44" t="s">
        <v>531</v>
      </c>
      <c r="B49" s="44" t="s">
        <v>532</v>
      </c>
      <c r="C49" s="44" t="s">
        <v>74</v>
      </c>
      <c r="D49" s="44">
        <v>5</v>
      </c>
      <c r="E49" s="44" t="s">
        <v>676</v>
      </c>
      <c r="F49" s="44" t="s">
        <v>677</v>
      </c>
    </row>
    <row r="50" spans="1:6" ht="34.5" customHeight="1">
      <c r="A50" s="44" t="s">
        <v>507</v>
      </c>
      <c r="B50" s="44" t="s">
        <v>508</v>
      </c>
      <c r="C50" s="44" t="s">
        <v>341</v>
      </c>
      <c r="D50" s="44">
        <v>5</v>
      </c>
      <c r="E50" s="44" t="s">
        <v>678</v>
      </c>
      <c r="F50" s="44" t="s">
        <v>679</v>
      </c>
    </row>
    <row r="51" spans="1:6" ht="34.5" customHeight="1">
      <c r="A51" s="44" t="s">
        <v>513</v>
      </c>
      <c r="B51" s="44" t="s">
        <v>514</v>
      </c>
      <c r="C51" s="44" t="s">
        <v>8</v>
      </c>
      <c r="D51" s="44">
        <v>5</v>
      </c>
      <c r="E51" s="44" t="s">
        <v>680</v>
      </c>
      <c r="F51" s="44" t="s">
        <v>680</v>
      </c>
    </row>
    <row r="52" spans="1:6" ht="34.5" customHeight="1">
      <c r="A52" s="44" t="s">
        <v>509</v>
      </c>
      <c r="B52" s="44" t="s">
        <v>510</v>
      </c>
      <c r="C52" s="44" t="s">
        <v>121</v>
      </c>
      <c r="D52" s="44">
        <v>5</v>
      </c>
      <c r="E52" s="44" t="s">
        <v>681</v>
      </c>
      <c r="F52" s="44" t="s">
        <v>680</v>
      </c>
    </row>
    <row r="53" spans="1:6" ht="34.5" customHeight="1">
      <c r="A53" s="44" t="s">
        <v>517</v>
      </c>
      <c r="B53" s="44" t="s">
        <v>518</v>
      </c>
      <c r="C53" s="44" t="s">
        <v>41</v>
      </c>
      <c r="D53" s="44">
        <v>5</v>
      </c>
      <c r="E53" s="44" t="s">
        <v>682</v>
      </c>
      <c r="F53" s="44" t="s">
        <v>683</v>
      </c>
    </row>
    <row r="54" spans="1:6" ht="34.5" customHeight="1">
      <c r="A54" s="44" t="s">
        <v>529</v>
      </c>
      <c r="B54" s="44" t="s">
        <v>530</v>
      </c>
      <c r="C54" s="44" t="s">
        <v>106</v>
      </c>
      <c r="D54" s="44">
        <v>5</v>
      </c>
      <c r="E54" s="44" t="s">
        <v>684</v>
      </c>
      <c r="F54" s="44" t="s">
        <v>685</v>
      </c>
    </row>
    <row r="55" spans="1:6" ht="34.5" customHeight="1">
      <c r="A55" s="44" t="s">
        <v>533</v>
      </c>
      <c r="B55" s="44" t="s">
        <v>534</v>
      </c>
      <c r="C55" s="44" t="s">
        <v>299</v>
      </c>
      <c r="D55" s="44">
        <v>5</v>
      </c>
      <c r="E55" s="44" t="s">
        <v>686</v>
      </c>
      <c r="F55" s="44" t="s">
        <v>687</v>
      </c>
    </row>
    <row r="56" spans="1:6" ht="34.5" customHeight="1">
      <c r="A56" s="44" t="s">
        <v>519</v>
      </c>
      <c r="B56" s="44" t="s">
        <v>520</v>
      </c>
      <c r="C56" s="44" t="s">
        <v>121</v>
      </c>
      <c r="D56" s="44">
        <v>5</v>
      </c>
      <c r="E56" s="44" t="s">
        <v>688</v>
      </c>
      <c r="F56" s="44" t="s">
        <v>689</v>
      </c>
    </row>
    <row r="57" spans="1:6" ht="34.5" customHeight="1">
      <c r="A57" s="44" t="s">
        <v>515</v>
      </c>
      <c r="B57" s="44" t="s">
        <v>516</v>
      </c>
      <c r="C57" s="44" t="s">
        <v>233</v>
      </c>
      <c r="D57" s="44">
        <v>4</v>
      </c>
      <c r="E57" s="44" t="s">
        <v>690</v>
      </c>
      <c r="F57" s="44" t="s">
        <v>691</v>
      </c>
    </row>
    <row r="58" spans="1:6" ht="34.5" customHeight="1">
      <c r="A58" s="44" t="s">
        <v>535</v>
      </c>
      <c r="B58" s="44" t="s">
        <v>536</v>
      </c>
      <c r="C58" s="44" t="s">
        <v>41</v>
      </c>
      <c r="D58" s="44">
        <v>3</v>
      </c>
      <c r="E58" s="44" t="s">
        <v>692</v>
      </c>
      <c r="F58" s="44" t="s">
        <v>693</v>
      </c>
    </row>
    <row r="59" spans="1:6" ht="34.5" customHeight="1">
      <c r="A59" s="44" t="s">
        <v>521</v>
      </c>
      <c r="B59" s="44" t="s">
        <v>522</v>
      </c>
      <c r="C59" s="44" t="s">
        <v>299</v>
      </c>
      <c r="D59" s="44">
        <v>3</v>
      </c>
      <c r="F59" s="44" t="s">
        <v>694</v>
      </c>
    </row>
    <row r="60" spans="1:6" ht="34.5" customHeight="1">
      <c r="A60" s="44" t="s">
        <v>119</v>
      </c>
      <c r="B60" s="44" t="s">
        <v>120</v>
      </c>
      <c r="C60" s="44" t="s">
        <v>121</v>
      </c>
      <c r="D60" s="44">
        <v>4</v>
      </c>
      <c r="E60" s="44" t="s">
        <v>697</v>
      </c>
      <c r="F60" s="44" t="s">
        <v>698</v>
      </c>
    </row>
    <row r="61" spans="1:6" ht="34.5" customHeight="1">
      <c r="A61" s="44" t="s">
        <v>135</v>
      </c>
      <c r="B61" s="44" t="s">
        <v>136</v>
      </c>
      <c r="C61" s="44" t="s">
        <v>137</v>
      </c>
      <c r="D61" s="44">
        <v>3</v>
      </c>
      <c r="F61" s="44" t="s">
        <v>699</v>
      </c>
    </row>
    <row r="62" spans="1:6" ht="34.5" customHeight="1">
      <c r="A62" s="44" t="s">
        <v>122</v>
      </c>
      <c r="B62" s="44" t="s">
        <v>123</v>
      </c>
      <c r="C62" s="44" t="s">
        <v>121</v>
      </c>
      <c r="D62" s="44">
        <v>5</v>
      </c>
      <c r="E62" s="44" t="s">
        <v>700</v>
      </c>
      <c r="F62" s="44" t="s">
        <v>701</v>
      </c>
    </row>
    <row r="63" spans="1:6" ht="34.5" customHeight="1">
      <c r="A63" s="44" t="s">
        <v>126</v>
      </c>
      <c r="B63" s="44" t="s">
        <v>695</v>
      </c>
      <c r="C63" s="44" t="s">
        <v>100</v>
      </c>
      <c r="D63" s="44">
        <v>4</v>
      </c>
      <c r="E63" s="44" t="s">
        <v>702</v>
      </c>
    </row>
    <row r="64" spans="1:6" ht="34.5" customHeight="1">
      <c r="A64" s="44" t="s">
        <v>129</v>
      </c>
      <c r="B64" s="44" t="s">
        <v>130</v>
      </c>
      <c r="C64" s="44" t="s">
        <v>29</v>
      </c>
      <c r="D64" s="44">
        <v>5</v>
      </c>
      <c r="F64" s="44" t="s">
        <v>703</v>
      </c>
    </row>
    <row r="65" spans="1:6" ht="34.5" customHeight="1">
      <c r="A65" s="44" t="s">
        <v>127</v>
      </c>
      <c r="B65" s="44" t="s">
        <v>128</v>
      </c>
      <c r="C65" s="44" t="s">
        <v>38</v>
      </c>
      <c r="D65" s="44">
        <v>5</v>
      </c>
      <c r="F65" s="44" t="s">
        <v>704</v>
      </c>
    </row>
    <row r="66" spans="1:6" ht="34.5" customHeight="1">
      <c r="A66" s="44" t="s">
        <v>131</v>
      </c>
      <c r="B66" s="44" t="s">
        <v>132</v>
      </c>
      <c r="C66" s="44" t="s">
        <v>41</v>
      </c>
      <c r="D66" s="44">
        <v>5</v>
      </c>
      <c r="E66" s="44" t="s">
        <v>705</v>
      </c>
      <c r="F66" s="44" t="s">
        <v>706</v>
      </c>
    </row>
    <row r="67" spans="1:6" ht="34.5" customHeight="1">
      <c r="A67" s="44" t="s">
        <v>133</v>
      </c>
      <c r="B67" s="44" t="s">
        <v>134</v>
      </c>
      <c r="C67" s="44" t="s">
        <v>46</v>
      </c>
      <c r="D67" s="44">
        <v>5</v>
      </c>
      <c r="F67" s="44" t="s">
        <v>707</v>
      </c>
    </row>
    <row r="68" spans="1:6" ht="34.5" customHeight="1">
      <c r="A68" s="44" t="s">
        <v>138</v>
      </c>
      <c r="B68" s="44" t="s">
        <v>139</v>
      </c>
      <c r="C68" s="44" t="s">
        <v>106</v>
      </c>
      <c r="D68" s="44">
        <v>5</v>
      </c>
      <c r="E68" s="44" t="s">
        <v>708</v>
      </c>
    </row>
    <row r="69" spans="1:6" ht="34.5" customHeight="1">
      <c r="A69" s="44" t="s">
        <v>142</v>
      </c>
      <c r="B69" s="44" t="s">
        <v>696</v>
      </c>
      <c r="C69" s="44" t="s">
        <v>41</v>
      </c>
      <c r="D69" s="44">
        <v>3</v>
      </c>
      <c r="F69" s="44" t="s">
        <v>709</v>
      </c>
    </row>
    <row r="70" spans="1:6" ht="34.5" customHeight="1">
      <c r="A70" s="44" t="s">
        <v>158</v>
      </c>
      <c r="B70" s="44" t="s">
        <v>159</v>
      </c>
      <c r="C70" s="44" t="s">
        <v>100</v>
      </c>
      <c r="D70" s="44">
        <v>4</v>
      </c>
      <c r="E70" s="44" t="s">
        <v>710</v>
      </c>
      <c r="F70" s="44" t="s">
        <v>711</v>
      </c>
    </row>
    <row r="71" spans="1:6" ht="34.5" customHeight="1">
      <c r="A71" s="44" t="s">
        <v>144</v>
      </c>
      <c r="B71" s="44" t="s">
        <v>145</v>
      </c>
      <c r="C71" s="44" t="s">
        <v>146</v>
      </c>
      <c r="D71" s="44">
        <v>5</v>
      </c>
      <c r="E71" s="44" t="s">
        <v>712</v>
      </c>
      <c r="F71" s="44" t="s">
        <v>713</v>
      </c>
    </row>
    <row r="72" spans="1:6" ht="34.5" customHeight="1">
      <c r="A72" s="44" t="s">
        <v>149</v>
      </c>
      <c r="B72" s="44" t="s">
        <v>150</v>
      </c>
      <c r="C72" s="44" t="s">
        <v>151</v>
      </c>
      <c r="D72" s="44">
        <v>5</v>
      </c>
      <c r="F72" s="44" t="s">
        <v>714</v>
      </c>
    </row>
    <row r="73" spans="1:6" ht="34.5" customHeight="1">
      <c r="A73" s="44" t="s">
        <v>152</v>
      </c>
      <c r="B73" s="44" t="s">
        <v>153</v>
      </c>
      <c r="C73" s="44" t="s">
        <v>16</v>
      </c>
      <c r="D73" s="44">
        <v>3</v>
      </c>
      <c r="F73" s="44" t="s">
        <v>715</v>
      </c>
    </row>
    <row r="74" spans="1:6" ht="34.5" customHeight="1">
      <c r="A74" s="44" t="s">
        <v>154</v>
      </c>
      <c r="B74" s="44" t="s">
        <v>155</v>
      </c>
      <c r="C74" s="44" t="s">
        <v>146</v>
      </c>
      <c r="D74" s="44">
        <v>5</v>
      </c>
      <c r="F74" s="44" t="s">
        <v>716</v>
      </c>
    </row>
    <row r="75" spans="1:6" ht="34.5" customHeight="1">
      <c r="A75" s="44" t="s">
        <v>156</v>
      </c>
      <c r="B75" s="44" t="s">
        <v>157</v>
      </c>
      <c r="C75" s="44" t="s">
        <v>151</v>
      </c>
      <c r="D75" s="44">
        <v>4</v>
      </c>
      <c r="E75" s="44" t="s">
        <v>717</v>
      </c>
      <c r="F75" s="44" t="s">
        <v>718</v>
      </c>
    </row>
    <row r="76" spans="1:6" ht="34.5" customHeight="1">
      <c r="A76" s="44" t="s">
        <v>160</v>
      </c>
      <c r="B76" s="44" t="s">
        <v>161</v>
      </c>
      <c r="C76" s="44" t="s">
        <v>11</v>
      </c>
      <c r="D76" s="44">
        <v>5</v>
      </c>
      <c r="F76" s="44" t="s">
        <v>719</v>
      </c>
    </row>
    <row r="77" spans="1:6" ht="34.5" customHeight="1">
      <c r="A77" s="44" t="s">
        <v>162</v>
      </c>
      <c r="B77" s="44" t="s">
        <v>163</v>
      </c>
      <c r="C77" s="44" t="s">
        <v>164</v>
      </c>
      <c r="D77" s="44">
        <v>5</v>
      </c>
      <c r="E77" s="44" t="s">
        <v>720</v>
      </c>
      <c r="F77" s="44" t="s">
        <v>721</v>
      </c>
    </row>
    <row r="78" spans="1:6" ht="34.5" customHeight="1">
      <c r="A78" s="44" t="s">
        <v>165</v>
      </c>
      <c r="B78" s="44" t="s">
        <v>166</v>
      </c>
      <c r="C78" s="44" t="s">
        <v>8</v>
      </c>
      <c r="D78" s="44">
        <v>5</v>
      </c>
      <c r="F78" s="44" t="s">
        <v>722</v>
      </c>
    </row>
    <row r="79" spans="1:6" ht="34.5" customHeight="1">
      <c r="A79" s="44" t="s">
        <v>167</v>
      </c>
      <c r="B79" s="44" t="s">
        <v>168</v>
      </c>
      <c r="C79" s="44" t="s">
        <v>11</v>
      </c>
      <c r="D79" s="44">
        <v>4</v>
      </c>
      <c r="E79" s="44" t="s">
        <v>723</v>
      </c>
      <c r="F79" s="44" t="s">
        <v>724</v>
      </c>
    </row>
    <row r="80" spans="1:6" ht="34.5" customHeight="1">
      <c r="A80" s="44" t="s">
        <v>171</v>
      </c>
      <c r="B80" s="44" t="s">
        <v>172</v>
      </c>
      <c r="C80" s="44" t="s">
        <v>151</v>
      </c>
      <c r="D80" s="44">
        <v>5</v>
      </c>
      <c r="E80" s="44" t="s">
        <v>725</v>
      </c>
    </row>
    <row r="81" spans="1:6" ht="34.5" customHeight="1">
      <c r="A81" s="44" t="s">
        <v>173</v>
      </c>
      <c r="B81" s="44" t="s">
        <v>174</v>
      </c>
      <c r="C81" s="44" t="s">
        <v>100</v>
      </c>
      <c r="D81" s="44">
        <v>4</v>
      </c>
      <c r="F81" s="44" t="s">
        <v>726</v>
      </c>
    </row>
    <row r="82" spans="1:6" ht="34.5" customHeight="1">
      <c r="A82" s="44" t="s">
        <v>175</v>
      </c>
      <c r="B82" s="44" t="s">
        <v>176</v>
      </c>
      <c r="C82" s="44" t="s">
        <v>177</v>
      </c>
      <c r="D82" s="44">
        <v>5</v>
      </c>
      <c r="E82" s="44" t="s">
        <v>727</v>
      </c>
      <c r="F82" s="44" t="s">
        <v>728</v>
      </c>
    </row>
    <row r="83" spans="1:6" ht="34.5" customHeight="1">
      <c r="A83" s="44" t="s">
        <v>178</v>
      </c>
      <c r="B83" s="44" t="s">
        <v>179</v>
      </c>
      <c r="C83" s="44" t="s">
        <v>106</v>
      </c>
      <c r="D83" s="44">
        <v>4</v>
      </c>
      <c r="E83" s="44" t="s">
        <v>729</v>
      </c>
      <c r="F83" s="44" t="s">
        <v>730</v>
      </c>
    </row>
    <row r="84" spans="1:6" ht="34.5" customHeight="1">
      <c r="A84" s="44" t="s">
        <v>180</v>
      </c>
      <c r="B84" s="44" t="s">
        <v>181</v>
      </c>
      <c r="C84" s="44" t="s">
        <v>177</v>
      </c>
      <c r="D84" s="44">
        <v>5</v>
      </c>
      <c r="E84" s="44" t="s">
        <v>731</v>
      </c>
      <c r="F84" s="44" t="s">
        <v>732</v>
      </c>
    </row>
    <row r="85" spans="1:6" ht="34.5" customHeight="1">
      <c r="A85" s="44" t="s">
        <v>182</v>
      </c>
      <c r="B85" s="44" t="s">
        <v>183</v>
      </c>
      <c r="C85" s="44" t="s">
        <v>100</v>
      </c>
      <c r="D85" s="44">
        <v>4</v>
      </c>
      <c r="E85" s="44" t="s">
        <v>733</v>
      </c>
      <c r="F85" s="44" t="s">
        <v>734</v>
      </c>
    </row>
    <row r="86" spans="1:6" ht="34.5" customHeight="1">
      <c r="A86" s="44" t="s">
        <v>184</v>
      </c>
      <c r="B86" s="44" t="s">
        <v>185</v>
      </c>
      <c r="C86" s="44" t="s">
        <v>316</v>
      </c>
      <c r="D86" s="44">
        <v>5</v>
      </c>
      <c r="F86" s="44" t="s">
        <v>735</v>
      </c>
    </row>
    <row r="87" spans="1:6" ht="34.5" customHeight="1">
      <c r="A87" s="44" t="s">
        <v>189</v>
      </c>
      <c r="B87" s="44" t="s">
        <v>190</v>
      </c>
      <c r="C87" s="44" t="s">
        <v>164</v>
      </c>
      <c r="D87" s="44">
        <v>4</v>
      </c>
      <c r="E87" s="44" t="s">
        <v>736</v>
      </c>
      <c r="F87" s="44" t="s">
        <v>737</v>
      </c>
    </row>
    <row r="88" spans="1:6" ht="34.5" customHeight="1">
      <c r="A88" s="44" t="s">
        <v>191</v>
      </c>
      <c r="B88" s="44" t="s">
        <v>192</v>
      </c>
      <c r="C88" s="44" t="s">
        <v>100</v>
      </c>
      <c r="D88" s="44">
        <v>5</v>
      </c>
      <c r="E88" s="44" t="s">
        <v>738</v>
      </c>
    </row>
    <row r="89" spans="1:6" ht="34.5" customHeight="1">
      <c r="A89" s="44" t="s">
        <v>193</v>
      </c>
      <c r="B89" s="44" t="s">
        <v>194</v>
      </c>
      <c r="C89" s="44" t="s">
        <v>100</v>
      </c>
      <c r="D89" s="44">
        <v>5</v>
      </c>
      <c r="E89" s="44" t="s">
        <v>739</v>
      </c>
    </row>
    <row r="90" spans="1:6" ht="34.5" customHeight="1">
      <c r="A90" s="44" t="s">
        <v>197</v>
      </c>
      <c r="B90" s="44" t="s">
        <v>198</v>
      </c>
      <c r="C90" s="44" t="s">
        <v>46</v>
      </c>
      <c r="D90" s="44">
        <v>5</v>
      </c>
      <c r="E90" s="44" t="s">
        <v>740</v>
      </c>
    </row>
    <row r="91" spans="1:6" ht="34.5" customHeight="1">
      <c r="A91" s="44" t="s">
        <v>199</v>
      </c>
      <c r="B91" s="44" t="s">
        <v>200</v>
      </c>
      <c r="C91" s="44" t="s">
        <v>201</v>
      </c>
      <c r="D91" s="44">
        <v>5</v>
      </c>
      <c r="E91" s="44" t="s">
        <v>741</v>
      </c>
    </row>
    <row r="92" spans="1:6" ht="34.5" customHeight="1">
      <c r="A92" s="44" t="s">
        <v>204</v>
      </c>
      <c r="B92" s="44" t="s">
        <v>205</v>
      </c>
      <c r="C92" s="44" t="s">
        <v>41</v>
      </c>
      <c r="D92" s="44">
        <v>5</v>
      </c>
      <c r="E92" s="44" t="s">
        <v>742</v>
      </c>
    </row>
    <row r="93" spans="1:6" ht="34.5" customHeight="1">
      <c r="A93" s="44" t="s">
        <v>210</v>
      </c>
      <c r="B93" s="44" t="s">
        <v>211</v>
      </c>
      <c r="C93" s="44" t="s">
        <v>100</v>
      </c>
      <c r="D93" s="44">
        <v>5</v>
      </c>
      <c r="E93" s="44" t="s">
        <v>743</v>
      </c>
    </row>
    <row r="94" spans="1:6" ht="34.5" customHeight="1">
      <c r="A94" s="44" t="s">
        <v>214</v>
      </c>
      <c r="B94" s="44" t="s">
        <v>215</v>
      </c>
      <c r="C94" s="44" t="s">
        <v>146</v>
      </c>
      <c r="D94" s="44">
        <v>5</v>
      </c>
      <c r="E94" s="44" t="s">
        <v>744</v>
      </c>
    </row>
    <row r="95" spans="1:6" ht="34.5" customHeight="1" thickBot="1">
      <c r="A95" s="45" t="s">
        <v>216</v>
      </c>
      <c r="B95" s="44" t="s">
        <v>217</v>
      </c>
      <c r="C95" s="44" t="s">
        <v>16</v>
      </c>
      <c r="D95" s="44">
        <v>5</v>
      </c>
      <c r="E95" s="44" t="s">
        <v>745</v>
      </c>
    </row>
    <row r="96" spans="1:6" ht="34.5" customHeight="1">
      <c r="A96" s="44" t="s">
        <v>218</v>
      </c>
      <c r="B96" s="44" t="s">
        <v>219</v>
      </c>
      <c r="C96" s="44" t="s">
        <v>8</v>
      </c>
      <c r="D96" s="44">
        <v>5</v>
      </c>
      <c r="E96" s="44" t="s">
        <v>747</v>
      </c>
      <c r="F96" s="44" t="s">
        <v>748</v>
      </c>
    </row>
    <row r="97" spans="1:6" ht="34.5" customHeight="1">
      <c r="A97" s="44" t="s">
        <v>746</v>
      </c>
      <c r="B97" s="44" t="s">
        <v>220</v>
      </c>
      <c r="C97" s="44" t="s">
        <v>221</v>
      </c>
      <c r="D97" s="44">
        <v>2</v>
      </c>
      <c r="E97" s="44" t="s">
        <v>749</v>
      </c>
      <c r="F97" s="44" t="s">
        <v>750</v>
      </c>
    </row>
    <row r="98" spans="1:6" ht="34.5" customHeight="1">
      <c r="A98" s="44" t="s">
        <v>222</v>
      </c>
      <c r="B98" s="44" t="s">
        <v>223</v>
      </c>
      <c r="C98" s="44" t="s">
        <v>224</v>
      </c>
      <c r="D98" s="44">
        <v>5</v>
      </c>
      <c r="E98" s="44" t="s">
        <v>751</v>
      </c>
      <c r="F98" s="44" t="s">
        <v>752</v>
      </c>
    </row>
    <row r="99" spans="1:6" ht="34.5" customHeight="1">
      <c r="A99" s="44" t="s">
        <v>225</v>
      </c>
      <c r="B99" s="44" t="s">
        <v>226</v>
      </c>
      <c r="C99" s="44" t="s">
        <v>121</v>
      </c>
      <c r="D99" s="44">
        <v>4</v>
      </c>
      <c r="E99" s="44" t="s">
        <v>753</v>
      </c>
      <c r="F99" s="44" t="s">
        <v>754</v>
      </c>
    </row>
    <row r="100" spans="1:6" ht="34.5" customHeight="1">
      <c r="A100" s="44" t="s">
        <v>227</v>
      </c>
      <c r="B100" s="44" t="s">
        <v>228</v>
      </c>
      <c r="C100" s="44" t="s">
        <v>11</v>
      </c>
      <c r="D100" s="44">
        <v>4</v>
      </c>
      <c r="E100" s="44" t="s">
        <v>755</v>
      </c>
      <c r="F100" s="44" t="s">
        <v>756</v>
      </c>
    </row>
    <row r="101" spans="1:6" ht="34.5" customHeight="1">
      <c r="A101" s="44" t="s">
        <v>229</v>
      </c>
      <c r="B101" s="44" t="s">
        <v>230</v>
      </c>
      <c r="C101" s="44" t="s">
        <v>38</v>
      </c>
      <c r="D101" s="44">
        <v>5</v>
      </c>
      <c r="F101" s="44" t="s">
        <v>757</v>
      </c>
    </row>
    <row r="102" spans="1:6" ht="34.5" customHeight="1">
      <c r="A102" s="44" t="s">
        <v>231</v>
      </c>
      <c r="B102" s="44" t="s">
        <v>232</v>
      </c>
      <c r="C102" s="44" t="s">
        <v>233</v>
      </c>
      <c r="D102" s="44">
        <v>4</v>
      </c>
      <c r="E102" s="44" t="s">
        <v>758</v>
      </c>
      <c r="F102" s="44" t="s">
        <v>759</v>
      </c>
    </row>
    <row r="103" spans="1:6" ht="34.5" customHeight="1">
      <c r="A103" s="44" t="s">
        <v>234</v>
      </c>
      <c r="B103" s="44" t="s">
        <v>318</v>
      </c>
      <c r="C103" s="44" t="s">
        <v>177</v>
      </c>
      <c r="D103" s="44">
        <v>4</v>
      </c>
      <c r="E103" s="44" t="s">
        <v>760</v>
      </c>
      <c r="F103" s="44" t="s">
        <v>761</v>
      </c>
    </row>
    <row r="104" spans="1:6" ht="34.5" customHeight="1">
      <c r="A104" s="44" t="s">
        <v>235</v>
      </c>
      <c r="B104" s="44" t="s">
        <v>236</v>
      </c>
      <c r="C104" s="44" t="s">
        <v>59</v>
      </c>
      <c r="D104" s="44">
        <v>5</v>
      </c>
      <c r="F104" s="44" t="s">
        <v>762</v>
      </c>
    </row>
    <row r="105" spans="1:6" ht="34.5" customHeight="1">
      <c r="A105" s="44" t="s">
        <v>237</v>
      </c>
      <c r="B105" s="44" t="s">
        <v>319</v>
      </c>
      <c r="C105" s="44" t="s">
        <v>41</v>
      </c>
      <c r="D105" s="44">
        <v>5</v>
      </c>
      <c r="E105" s="44" t="s">
        <v>763</v>
      </c>
      <c r="F105" s="44" t="s">
        <v>764</v>
      </c>
    </row>
    <row r="106" spans="1:6" ht="34.5" customHeight="1">
      <c r="A106" s="44" t="s">
        <v>238</v>
      </c>
      <c r="B106" s="44" t="s">
        <v>239</v>
      </c>
      <c r="C106" s="44" t="s">
        <v>29</v>
      </c>
      <c r="D106" s="44">
        <v>3</v>
      </c>
      <c r="F106" s="44" t="s">
        <v>765</v>
      </c>
    </row>
    <row r="107" spans="1:6" ht="34.5" customHeight="1">
      <c r="A107" s="44" t="s">
        <v>240</v>
      </c>
      <c r="B107" s="44" t="s">
        <v>241</v>
      </c>
      <c r="C107" s="44" t="s">
        <v>8</v>
      </c>
      <c r="D107" s="44">
        <v>4</v>
      </c>
      <c r="E107" s="44" t="s">
        <v>766</v>
      </c>
      <c r="F107" s="44" t="s">
        <v>767</v>
      </c>
    </row>
    <row r="108" spans="1:6" ht="34.5" customHeight="1">
      <c r="A108" s="44" t="s">
        <v>242</v>
      </c>
      <c r="B108" s="44" t="s">
        <v>243</v>
      </c>
      <c r="C108" s="44" t="s">
        <v>89</v>
      </c>
      <c r="D108" s="44">
        <v>3</v>
      </c>
      <c r="E108" s="44" t="s">
        <v>768</v>
      </c>
      <c r="F108" s="44" t="s">
        <v>769</v>
      </c>
    </row>
    <row r="109" spans="1:6" ht="34.5" customHeight="1">
      <c r="A109" s="44" t="s">
        <v>244</v>
      </c>
      <c r="B109" s="44" t="s">
        <v>245</v>
      </c>
      <c r="C109" s="44" t="s">
        <v>41</v>
      </c>
      <c r="D109" s="44">
        <v>5</v>
      </c>
      <c r="E109" s="44" t="s">
        <v>770</v>
      </c>
      <c r="F109" s="44" t="s">
        <v>771</v>
      </c>
    </row>
    <row r="110" spans="1:6" ht="34.5" customHeight="1">
      <c r="A110" s="44" t="s">
        <v>246</v>
      </c>
      <c r="B110" s="44" t="s">
        <v>247</v>
      </c>
      <c r="C110" s="44" t="s">
        <v>38</v>
      </c>
      <c r="D110" s="44">
        <v>5</v>
      </c>
      <c r="E110" s="44" t="s">
        <v>772</v>
      </c>
      <c r="F110" s="44" t="s">
        <v>773</v>
      </c>
    </row>
    <row r="111" spans="1:6" ht="34.5" customHeight="1">
      <c r="A111" s="44" t="s">
        <v>249</v>
      </c>
      <c r="B111" s="44" t="s">
        <v>250</v>
      </c>
      <c r="C111" s="44" t="s">
        <v>251</v>
      </c>
      <c r="D111" s="44">
        <v>5</v>
      </c>
      <c r="E111" s="44" t="s">
        <v>774</v>
      </c>
      <c r="F111" s="44" t="s">
        <v>775</v>
      </c>
    </row>
    <row r="112" spans="1:6" ht="34.5" customHeight="1">
      <c r="A112" s="44" t="s">
        <v>254</v>
      </c>
      <c r="B112" s="44" t="s">
        <v>255</v>
      </c>
      <c r="C112" s="44" t="s">
        <v>8</v>
      </c>
      <c r="D112" s="44">
        <v>5</v>
      </c>
      <c r="E112" s="44" t="s">
        <v>776</v>
      </c>
      <c r="F112" s="44" t="s">
        <v>777</v>
      </c>
    </row>
    <row r="113" spans="1:6" ht="34.5" customHeight="1">
      <c r="A113" s="44" t="s">
        <v>256</v>
      </c>
      <c r="B113" s="44" t="s">
        <v>257</v>
      </c>
      <c r="C113" s="44" t="s">
        <v>258</v>
      </c>
      <c r="D113" s="44">
        <v>5</v>
      </c>
      <c r="E113" s="44" t="s">
        <v>778</v>
      </c>
      <c r="F113" s="44" t="s">
        <v>779</v>
      </c>
    </row>
    <row r="114" spans="1:6" ht="34.5" customHeight="1">
      <c r="A114" s="44" t="s">
        <v>259</v>
      </c>
      <c r="B114" s="44" t="s">
        <v>260</v>
      </c>
      <c r="C114" s="44" t="s">
        <v>11</v>
      </c>
      <c r="D114" s="44">
        <v>5</v>
      </c>
      <c r="E114" s="44" t="s">
        <v>780</v>
      </c>
      <c r="F114" s="44" t="s">
        <v>781</v>
      </c>
    </row>
    <row r="115" spans="1:6" ht="34.5" customHeight="1">
      <c r="A115" s="44" t="s">
        <v>261</v>
      </c>
      <c r="B115" s="44" t="s">
        <v>262</v>
      </c>
      <c r="C115" s="44" t="s">
        <v>137</v>
      </c>
      <c r="D115" s="44">
        <v>3</v>
      </c>
      <c r="E115" s="44" t="s">
        <v>782</v>
      </c>
      <c r="F115" s="44" t="s">
        <v>783</v>
      </c>
    </row>
    <row r="116" spans="1:6" ht="34.5" customHeight="1" thickBot="1">
      <c r="A116" s="45" t="s">
        <v>263</v>
      </c>
      <c r="B116" s="44" t="s">
        <v>321</v>
      </c>
      <c r="C116" s="44" t="s">
        <v>16</v>
      </c>
      <c r="D116" s="44">
        <v>3</v>
      </c>
      <c r="E116" s="44" t="s">
        <v>784</v>
      </c>
      <c r="F116" s="44" t="s">
        <v>785</v>
      </c>
    </row>
    <row r="117" spans="1:6" ht="34.5" customHeight="1">
      <c r="A117" s="44" t="s">
        <v>264</v>
      </c>
      <c r="B117" s="44" t="s">
        <v>265</v>
      </c>
      <c r="C117" s="44" t="s">
        <v>266</v>
      </c>
      <c r="D117" s="44">
        <v>4</v>
      </c>
      <c r="F117" s="44" t="s">
        <v>787</v>
      </c>
    </row>
    <row r="118" spans="1:6" ht="34.5" customHeight="1">
      <c r="A118" s="44" t="s">
        <v>267</v>
      </c>
      <c r="B118" s="44" t="s">
        <v>268</v>
      </c>
      <c r="C118" s="44" t="s">
        <v>224</v>
      </c>
      <c r="D118" s="44">
        <v>4</v>
      </c>
      <c r="F118" s="44" t="s">
        <v>788</v>
      </c>
    </row>
    <row r="119" spans="1:6" ht="34.5" customHeight="1">
      <c r="A119" s="44" t="s">
        <v>269</v>
      </c>
      <c r="B119" s="44" t="s">
        <v>270</v>
      </c>
      <c r="C119" s="44" t="s">
        <v>271</v>
      </c>
      <c r="D119" s="44">
        <v>3</v>
      </c>
      <c r="E119" s="44" t="s">
        <v>789</v>
      </c>
      <c r="F119" s="44" t="s">
        <v>790</v>
      </c>
    </row>
    <row r="120" spans="1:6" ht="34.5" customHeight="1">
      <c r="A120" s="44" t="s">
        <v>272</v>
      </c>
      <c r="B120" s="44" t="s">
        <v>786</v>
      </c>
      <c r="C120" s="44" t="s">
        <v>266</v>
      </c>
      <c r="D120" s="44">
        <v>3</v>
      </c>
      <c r="E120" s="44" t="s">
        <v>791</v>
      </c>
      <c r="F120" s="44" t="s">
        <v>792</v>
      </c>
    </row>
    <row r="121" spans="1:6" ht="34.5" customHeight="1">
      <c r="A121" s="44" t="s">
        <v>273</v>
      </c>
      <c r="B121" s="44" t="s">
        <v>274</v>
      </c>
      <c r="C121" s="44" t="s">
        <v>271</v>
      </c>
      <c r="D121" s="44">
        <v>3</v>
      </c>
      <c r="E121" s="44" t="s">
        <v>793</v>
      </c>
      <c r="F121" s="44" t="s">
        <v>794</v>
      </c>
    </row>
    <row r="122" spans="1:6" ht="34.5" customHeight="1">
      <c r="A122" s="44" t="s">
        <v>275</v>
      </c>
      <c r="B122" s="44" t="s">
        <v>323</v>
      </c>
      <c r="C122" s="44" t="s">
        <v>224</v>
      </c>
      <c r="D122" s="44">
        <v>5</v>
      </c>
      <c r="F122" s="44" t="s">
        <v>795</v>
      </c>
    </row>
    <row r="123" spans="1:6" ht="34.5" customHeight="1">
      <c r="A123" s="44" t="s">
        <v>276</v>
      </c>
      <c r="B123" s="44" t="s">
        <v>277</v>
      </c>
      <c r="C123" s="44" t="s">
        <v>46</v>
      </c>
      <c r="D123" s="44">
        <v>4</v>
      </c>
      <c r="E123" s="44" t="s">
        <v>796</v>
      </c>
      <c r="F123" s="44" t="s">
        <v>797</v>
      </c>
    </row>
    <row r="124" spans="1:6" ht="34.5" customHeight="1">
      <c r="A124" s="44" t="s">
        <v>278</v>
      </c>
      <c r="B124" s="44" t="s">
        <v>279</v>
      </c>
      <c r="C124" s="44" t="s">
        <v>266</v>
      </c>
      <c r="D124" s="44">
        <v>4</v>
      </c>
      <c r="F124" s="44" t="s">
        <v>798</v>
      </c>
    </row>
    <row r="125" spans="1:6" ht="34.5" customHeight="1">
      <c r="A125" s="44" t="s">
        <v>280</v>
      </c>
      <c r="B125" s="44" t="s">
        <v>281</v>
      </c>
      <c r="C125" s="44" t="s">
        <v>266</v>
      </c>
      <c r="D125" s="44">
        <v>4</v>
      </c>
      <c r="F125" s="44" t="s">
        <v>799</v>
      </c>
    </row>
    <row r="126" spans="1:6" ht="34.5" customHeight="1">
      <c r="A126" s="44" t="s">
        <v>282</v>
      </c>
      <c r="B126" s="44" t="s">
        <v>283</v>
      </c>
      <c r="C126" s="44" t="s">
        <v>266</v>
      </c>
      <c r="D126" s="44">
        <v>5</v>
      </c>
      <c r="E126" s="44" t="s">
        <v>800</v>
      </c>
      <c r="F126" s="44" t="s">
        <v>801</v>
      </c>
    </row>
    <row r="127" spans="1:6" ht="34.5" customHeight="1">
      <c r="A127" s="44" t="s">
        <v>287</v>
      </c>
      <c r="B127" s="44" t="s">
        <v>288</v>
      </c>
      <c r="C127" s="44" t="s">
        <v>100</v>
      </c>
      <c r="D127" s="44">
        <v>4</v>
      </c>
      <c r="E127" s="44" t="s">
        <v>802</v>
      </c>
      <c r="F127" s="44" t="s">
        <v>803</v>
      </c>
    </row>
    <row r="128" spans="1:6" ht="34.5" customHeight="1">
      <c r="A128" s="44" t="s">
        <v>289</v>
      </c>
      <c r="B128" s="44" t="s">
        <v>290</v>
      </c>
      <c r="C128" s="44" t="s">
        <v>100</v>
      </c>
      <c r="D128" s="44">
        <v>4</v>
      </c>
      <c r="E128" s="44" t="s">
        <v>804</v>
      </c>
      <c r="F128" s="44" t="s">
        <v>805</v>
      </c>
    </row>
    <row r="129" spans="1:6" ht="34.5" customHeight="1">
      <c r="A129" s="44" t="s">
        <v>291</v>
      </c>
      <c r="B129" s="44" t="s">
        <v>292</v>
      </c>
      <c r="C129" s="44" t="s">
        <v>11</v>
      </c>
      <c r="D129" s="44">
        <v>4</v>
      </c>
      <c r="E129" s="44" t="s">
        <v>806</v>
      </c>
      <c r="F129" s="44" t="s">
        <v>807</v>
      </c>
    </row>
    <row r="130" spans="1:6" ht="34.5" customHeight="1">
      <c r="A130" s="44" t="s">
        <v>293</v>
      </c>
      <c r="B130" s="44" t="s">
        <v>294</v>
      </c>
      <c r="C130" s="44" t="s">
        <v>266</v>
      </c>
      <c r="D130" s="44">
        <v>5</v>
      </c>
      <c r="E130" s="44" t="s">
        <v>808</v>
      </c>
      <c r="F130" s="44" t="s">
        <v>809</v>
      </c>
    </row>
    <row r="131" spans="1:6" ht="34.5" customHeight="1">
      <c r="A131" s="44" t="s">
        <v>295</v>
      </c>
      <c r="B131" s="44" t="s">
        <v>296</v>
      </c>
      <c r="C131" s="44" t="s">
        <v>11</v>
      </c>
      <c r="D131" s="44">
        <v>4</v>
      </c>
      <c r="F131" s="44" t="s">
        <v>810</v>
      </c>
    </row>
    <row r="132" spans="1:6" ht="34.5" customHeight="1">
      <c r="A132" s="44" t="s">
        <v>297</v>
      </c>
      <c r="B132" s="44" t="s">
        <v>298</v>
      </c>
      <c r="C132" s="44" t="s">
        <v>299</v>
      </c>
      <c r="D132" s="44">
        <v>4</v>
      </c>
      <c r="E132" s="44" t="s">
        <v>811</v>
      </c>
      <c r="F132" s="44" t="s">
        <v>812</v>
      </c>
    </row>
    <row r="133" spans="1:6" ht="34.5" customHeight="1">
      <c r="A133" s="44" t="s">
        <v>300</v>
      </c>
      <c r="B133" s="44" t="s">
        <v>301</v>
      </c>
      <c r="C133" s="44" t="s">
        <v>266</v>
      </c>
      <c r="D133" s="44">
        <v>4</v>
      </c>
      <c r="F133" s="44" t="s">
        <v>813</v>
      </c>
    </row>
    <row r="134" spans="1:6" ht="34.5" customHeight="1" thickBot="1">
      <c r="A134" s="45" t="s">
        <v>302</v>
      </c>
      <c r="B134" s="44" t="s">
        <v>303</v>
      </c>
      <c r="C134" s="44" t="s">
        <v>224</v>
      </c>
      <c r="D134" s="44">
        <v>5</v>
      </c>
      <c r="F134" s="44" t="s">
        <v>814</v>
      </c>
    </row>
    <row r="135" spans="1:6" ht="34.5" customHeight="1">
      <c r="A135" s="44" t="s">
        <v>39</v>
      </c>
      <c r="B135" s="44" t="s">
        <v>40</v>
      </c>
      <c r="C135" s="44" t="s">
        <v>41</v>
      </c>
      <c r="D135" s="44">
        <v>4</v>
      </c>
      <c r="E135" s="44" t="s">
        <v>815</v>
      </c>
    </row>
    <row r="136" spans="1:6" ht="34.5" customHeight="1">
      <c r="A136" s="44" t="s">
        <v>117</v>
      </c>
      <c r="B136" s="44" t="s">
        <v>118</v>
      </c>
      <c r="C136" s="44" t="s">
        <v>8</v>
      </c>
      <c r="D136" s="44">
        <v>5</v>
      </c>
      <c r="E136" s="44" t="s">
        <v>816</v>
      </c>
    </row>
    <row r="137" spans="1:6" ht="34.5" customHeight="1">
      <c r="A137" s="44" t="s">
        <v>140</v>
      </c>
      <c r="B137" s="44" t="s">
        <v>141</v>
      </c>
      <c r="C137" s="44" t="s">
        <v>41</v>
      </c>
      <c r="D137" s="44">
        <v>4</v>
      </c>
      <c r="E137" s="44" t="s">
        <v>817</v>
      </c>
    </row>
    <row r="138" spans="1:6" ht="34.5" customHeight="1">
      <c r="A138" s="44" t="s">
        <v>147</v>
      </c>
      <c r="B138" s="44" t="s">
        <v>148</v>
      </c>
      <c r="C138" s="44" t="s">
        <v>146</v>
      </c>
      <c r="D138" s="44">
        <v>4</v>
      </c>
      <c r="E138" s="44" t="s">
        <v>818</v>
      </c>
    </row>
    <row r="139" spans="1:6" ht="34.5" customHeight="1">
      <c r="A139" s="44" t="s">
        <v>169</v>
      </c>
      <c r="B139" s="44" t="s">
        <v>170</v>
      </c>
      <c r="C139" s="44" t="s">
        <v>8</v>
      </c>
      <c r="D139" s="44">
        <v>5</v>
      </c>
      <c r="E139" s="44" t="s">
        <v>819</v>
      </c>
    </row>
    <row r="140" spans="1:6" ht="34.5" customHeight="1">
      <c r="A140" s="44" t="s">
        <v>186</v>
      </c>
      <c r="B140" s="44" t="s">
        <v>187</v>
      </c>
      <c r="C140" s="44" t="s">
        <v>188</v>
      </c>
      <c r="D140" s="44">
        <v>3</v>
      </c>
      <c r="E140" s="44" t="s">
        <v>820</v>
      </c>
    </row>
    <row r="141" spans="1:6" ht="34.5" customHeight="1">
      <c r="A141" s="44" t="s">
        <v>252</v>
      </c>
      <c r="B141" s="44" t="s">
        <v>320</v>
      </c>
      <c r="C141" s="44" t="s">
        <v>26</v>
      </c>
      <c r="D141" s="44">
        <v>5</v>
      </c>
      <c r="E141" s="44" t="s">
        <v>821</v>
      </c>
    </row>
    <row r="142" spans="1:6" ht="34.5" customHeight="1">
      <c r="A142" s="44" t="s">
        <v>284</v>
      </c>
      <c r="B142" s="44" t="s">
        <v>285</v>
      </c>
      <c r="C142" s="44" t="s">
        <v>41</v>
      </c>
      <c r="D142" s="44">
        <v>5</v>
      </c>
      <c r="E142" s="44" t="s">
        <v>822</v>
      </c>
    </row>
    <row r="143" spans="1:6" ht="34.5" customHeight="1">
      <c r="A143" s="44" t="s">
        <v>337</v>
      </c>
      <c r="B143" s="44" t="s">
        <v>823</v>
      </c>
      <c r="C143" s="44" t="s">
        <v>8</v>
      </c>
      <c r="D143" s="44">
        <v>3</v>
      </c>
      <c r="E143" s="44" t="s">
        <v>825</v>
      </c>
      <c r="F143" s="44" t="s">
        <v>826</v>
      </c>
    </row>
    <row r="144" spans="1:6" ht="34.5" customHeight="1">
      <c r="A144" s="44" t="s">
        <v>342</v>
      </c>
      <c r="B144" s="44" t="s">
        <v>824</v>
      </c>
      <c r="C144" s="44" t="s">
        <v>41</v>
      </c>
      <c r="D144" s="44">
        <v>4</v>
      </c>
      <c r="E144" s="44" t="s">
        <v>827</v>
      </c>
      <c r="F144" s="44" t="s">
        <v>828</v>
      </c>
    </row>
    <row r="145" spans="1:6" ht="34.5" customHeight="1">
      <c r="A145" s="44" t="s">
        <v>344</v>
      </c>
      <c r="B145" s="44" t="s">
        <v>345</v>
      </c>
      <c r="C145" s="44" t="s">
        <v>346</v>
      </c>
      <c r="D145" s="44">
        <v>5</v>
      </c>
      <c r="E145" s="44" t="s">
        <v>829</v>
      </c>
      <c r="F145" s="44" t="s">
        <v>830</v>
      </c>
    </row>
    <row r="146" spans="1:6" ht="34.5" customHeight="1">
      <c r="A146" s="44" t="s">
        <v>347</v>
      </c>
      <c r="B146" s="44" t="s">
        <v>348</v>
      </c>
      <c r="C146" s="44" t="s">
        <v>41</v>
      </c>
      <c r="D146" s="44">
        <v>4</v>
      </c>
      <c r="E146" s="44" t="s">
        <v>831</v>
      </c>
      <c r="F146" s="44" t="s">
        <v>832</v>
      </c>
    </row>
    <row r="147" spans="1:6" ht="34.5" customHeight="1">
      <c r="A147" s="44" t="s">
        <v>349</v>
      </c>
      <c r="B147" s="44" t="s">
        <v>350</v>
      </c>
      <c r="C147" s="44" t="s">
        <v>346</v>
      </c>
      <c r="D147" s="44">
        <v>4</v>
      </c>
      <c r="E147" s="44" t="s">
        <v>833</v>
      </c>
      <c r="F147" s="44" t="s">
        <v>834</v>
      </c>
    </row>
    <row r="148" spans="1:6" ht="34.5" customHeight="1">
      <c r="A148" s="44" t="s">
        <v>355</v>
      </c>
      <c r="B148" s="44" t="s">
        <v>356</v>
      </c>
      <c r="C148" s="44" t="s">
        <v>121</v>
      </c>
      <c r="D148" s="44">
        <v>3</v>
      </c>
      <c r="E148" s="44" t="s">
        <v>835</v>
      </c>
      <c r="F148" s="44" t="s">
        <v>836</v>
      </c>
    </row>
    <row r="149" spans="1:6" ht="34.5" customHeight="1">
      <c r="A149" s="44" t="s">
        <v>357</v>
      </c>
      <c r="B149" s="44" t="s">
        <v>358</v>
      </c>
      <c r="C149" s="44" t="s">
        <v>258</v>
      </c>
      <c r="D149" s="44">
        <v>5</v>
      </c>
      <c r="E149" s="44" t="s">
        <v>837</v>
      </c>
      <c r="F149" s="44" t="s">
        <v>838</v>
      </c>
    </row>
    <row r="150" spans="1:6" ht="34.5" customHeight="1">
      <c r="A150" s="44" t="s">
        <v>359</v>
      </c>
      <c r="B150" s="44" t="s">
        <v>360</v>
      </c>
      <c r="C150" s="44" t="s">
        <v>251</v>
      </c>
      <c r="D150" s="44">
        <v>4</v>
      </c>
      <c r="E150" s="44" t="s">
        <v>839</v>
      </c>
      <c r="F150" s="44" t="s">
        <v>840</v>
      </c>
    </row>
    <row r="151" spans="1:6" ht="34.5" customHeight="1">
      <c r="A151" s="44" t="s">
        <v>363</v>
      </c>
      <c r="B151" s="44" t="s">
        <v>364</v>
      </c>
      <c r="C151" s="44" t="s">
        <v>164</v>
      </c>
      <c r="D151" s="44">
        <v>5</v>
      </c>
      <c r="E151" s="44" t="s">
        <v>841</v>
      </c>
      <c r="F151" s="44" t="s">
        <v>842</v>
      </c>
    </row>
    <row r="152" spans="1:6" ht="34.5" customHeight="1">
      <c r="A152" s="44" t="s">
        <v>365</v>
      </c>
      <c r="B152" s="44" t="s">
        <v>366</v>
      </c>
      <c r="C152" s="44" t="s">
        <v>121</v>
      </c>
      <c r="D152" s="44">
        <v>4</v>
      </c>
      <c r="E152" s="44" t="s">
        <v>843</v>
      </c>
      <c r="F152" s="44" t="s">
        <v>844</v>
      </c>
    </row>
    <row r="153" spans="1:6" ht="34.5" customHeight="1">
      <c r="A153" s="44" t="s">
        <v>367</v>
      </c>
      <c r="B153" s="44" t="s">
        <v>368</v>
      </c>
      <c r="C153" s="44" t="s">
        <v>266</v>
      </c>
      <c r="D153" s="44">
        <v>4</v>
      </c>
      <c r="E153" s="44" t="s">
        <v>603</v>
      </c>
      <c r="F153" s="44" t="s">
        <v>604</v>
      </c>
    </row>
    <row r="154" spans="1:6" ht="34.5" customHeight="1">
      <c r="A154" s="44" t="s">
        <v>369</v>
      </c>
      <c r="B154" s="44" t="s">
        <v>370</v>
      </c>
      <c r="C154" s="44" t="s">
        <v>74</v>
      </c>
      <c r="D154" s="44">
        <v>3</v>
      </c>
      <c r="E154" s="44" t="s">
        <v>605</v>
      </c>
      <c r="F154" s="44" t="s">
        <v>606</v>
      </c>
    </row>
    <row r="155" spans="1:6" ht="34.5" customHeight="1">
      <c r="A155" s="44" t="s">
        <v>371</v>
      </c>
      <c r="B155" s="44" t="s">
        <v>372</v>
      </c>
      <c r="C155" s="44" t="s">
        <v>100</v>
      </c>
      <c r="D155" s="44">
        <v>4</v>
      </c>
      <c r="E155" s="44" t="s">
        <v>607</v>
      </c>
      <c r="F155" s="44" t="s">
        <v>608</v>
      </c>
    </row>
    <row r="156" spans="1:6" ht="34.5" customHeight="1">
      <c r="A156" s="44" t="s">
        <v>373</v>
      </c>
      <c r="B156" s="44" t="s">
        <v>374</v>
      </c>
      <c r="C156" s="44" t="s">
        <v>100</v>
      </c>
      <c r="D156" s="44">
        <v>4</v>
      </c>
      <c r="E156" s="44" t="s">
        <v>609</v>
      </c>
      <c r="F156" s="44" t="s">
        <v>610</v>
      </c>
    </row>
    <row r="157" spans="1:6" ht="34.5" customHeight="1">
      <c r="A157" s="44" t="s">
        <v>375</v>
      </c>
      <c r="B157" s="44" t="s">
        <v>376</v>
      </c>
      <c r="C157" s="44" t="s">
        <v>100</v>
      </c>
      <c r="D157" s="44">
        <v>4</v>
      </c>
      <c r="E157" s="44" t="s">
        <v>611</v>
      </c>
      <c r="F157" s="44" t="s">
        <v>612</v>
      </c>
    </row>
    <row r="158" spans="1:6" ht="34.5" customHeight="1">
      <c r="A158" s="44" t="s">
        <v>377</v>
      </c>
      <c r="B158" s="44" t="s">
        <v>378</v>
      </c>
      <c r="C158" s="44" t="s">
        <v>100</v>
      </c>
      <c r="D158" s="44">
        <v>3</v>
      </c>
      <c r="E158" s="44" t="s">
        <v>613</v>
      </c>
      <c r="F158" s="44" t="s">
        <v>614</v>
      </c>
    </row>
    <row r="159" spans="1:6" ht="34.5" customHeight="1">
      <c r="A159" s="44" t="s">
        <v>381</v>
      </c>
      <c r="B159" s="44" t="s">
        <v>382</v>
      </c>
      <c r="C159" s="44" t="s">
        <v>266</v>
      </c>
      <c r="D159" s="44">
        <v>5</v>
      </c>
      <c r="E159" s="44" t="s">
        <v>615</v>
      </c>
      <c r="F159" s="44" t="s">
        <v>616</v>
      </c>
    </row>
    <row r="160" spans="1:6" ht="34.5" customHeight="1">
      <c r="A160" s="44" t="s">
        <v>384</v>
      </c>
      <c r="B160" s="44" t="s">
        <v>385</v>
      </c>
      <c r="C160" s="44" t="s">
        <v>8</v>
      </c>
      <c r="D160" s="44">
        <v>5</v>
      </c>
      <c r="E160" s="44" t="s">
        <v>617</v>
      </c>
      <c r="F160" s="44" t="s">
        <v>618</v>
      </c>
    </row>
    <row r="161" spans="1:6" ht="34.5" customHeight="1">
      <c r="A161" s="44" t="s">
        <v>386</v>
      </c>
      <c r="B161" s="44" t="s">
        <v>539</v>
      </c>
      <c r="C161" s="44" t="s">
        <v>346</v>
      </c>
      <c r="D161" s="44">
        <v>5</v>
      </c>
      <c r="E161" s="44" t="s">
        <v>619</v>
      </c>
      <c r="F161" s="44" t="s">
        <v>620</v>
      </c>
    </row>
    <row r="162" spans="1:6" ht="34.5" customHeight="1">
      <c r="A162" s="44" t="s">
        <v>387</v>
      </c>
      <c r="B162" s="44" t="s">
        <v>388</v>
      </c>
      <c r="C162" s="44" t="s">
        <v>346</v>
      </c>
      <c r="D162" s="44">
        <v>5</v>
      </c>
      <c r="E162" s="44" t="s">
        <v>621</v>
      </c>
      <c r="F162" s="44" t="s">
        <v>622</v>
      </c>
    </row>
    <row r="163" spans="1:6" ht="34.5" customHeight="1">
      <c r="A163" s="44" t="s">
        <v>389</v>
      </c>
      <c r="B163" s="44" t="s">
        <v>390</v>
      </c>
      <c r="C163" s="44" t="s">
        <v>266</v>
      </c>
      <c r="D163" s="44">
        <v>5</v>
      </c>
      <c r="E163" s="44" t="s">
        <v>623</v>
      </c>
      <c r="F163" s="44" t="s">
        <v>624</v>
      </c>
    </row>
    <row r="164" spans="1:6" ht="34.5" customHeight="1">
      <c r="A164" s="44" t="s">
        <v>383</v>
      </c>
      <c r="B164" s="44" t="s">
        <v>538</v>
      </c>
      <c r="C164" s="44" t="s">
        <v>8</v>
      </c>
      <c r="D164" s="44">
        <v>5</v>
      </c>
      <c r="E164" s="44" t="s">
        <v>625</v>
      </c>
      <c r="F164" s="44" t="s">
        <v>626</v>
      </c>
    </row>
    <row r="165" spans="1:6" ht="34.5" customHeight="1">
      <c r="A165" s="44" t="s">
        <v>391</v>
      </c>
      <c r="B165" s="44" t="s">
        <v>392</v>
      </c>
      <c r="C165" s="44" t="s">
        <v>29</v>
      </c>
      <c r="D165" s="44">
        <v>5</v>
      </c>
      <c r="E165" s="44" t="s">
        <v>845</v>
      </c>
    </row>
    <row r="166" spans="1:6" ht="34.5" customHeight="1">
      <c r="A166" s="44" t="s">
        <v>393</v>
      </c>
      <c r="B166" s="44" t="s">
        <v>541</v>
      </c>
      <c r="C166" s="44" t="s">
        <v>121</v>
      </c>
      <c r="D166" s="44">
        <v>4</v>
      </c>
      <c r="E166" s="44" t="s">
        <v>846</v>
      </c>
    </row>
    <row r="167" spans="1:6" ht="34.5" customHeight="1">
      <c r="A167" s="44" t="s">
        <v>394</v>
      </c>
      <c r="B167" s="44" t="s">
        <v>395</v>
      </c>
      <c r="C167" s="44" t="s">
        <v>29</v>
      </c>
      <c r="D167" s="44">
        <v>3</v>
      </c>
      <c r="E167" s="44" t="s">
        <v>847</v>
      </c>
    </row>
    <row r="168" spans="1:6" ht="34.5" customHeight="1">
      <c r="A168" s="44" t="s">
        <v>396</v>
      </c>
      <c r="B168" s="44" t="s">
        <v>397</v>
      </c>
      <c r="C168" s="44" t="s">
        <v>398</v>
      </c>
      <c r="D168" s="44">
        <v>5</v>
      </c>
      <c r="E168" s="44" t="s">
        <v>848</v>
      </c>
    </row>
    <row r="169" spans="1:6" ht="34.5" customHeight="1">
      <c r="A169" s="44" t="s">
        <v>400</v>
      </c>
      <c r="B169" s="44" t="s">
        <v>401</v>
      </c>
      <c r="C169" s="44" t="s">
        <v>29</v>
      </c>
      <c r="D169" s="44">
        <v>4</v>
      </c>
      <c r="E169" s="44" t="s">
        <v>849</v>
      </c>
    </row>
    <row r="170" spans="1:6" ht="34.5" customHeight="1">
      <c r="A170" s="44" t="s">
        <v>405</v>
      </c>
      <c r="B170" s="44" t="s">
        <v>542</v>
      </c>
      <c r="C170" s="44" t="s">
        <v>266</v>
      </c>
      <c r="D170" s="44">
        <v>3</v>
      </c>
      <c r="E170" s="44" t="s">
        <v>850</v>
      </c>
    </row>
    <row r="171" spans="1:6" ht="34.5" customHeight="1">
      <c r="A171" s="44" t="s">
        <v>406</v>
      </c>
      <c r="B171" s="44" t="s">
        <v>407</v>
      </c>
      <c r="C171" s="44" t="s">
        <v>29</v>
      </c>
      <c r="D171" s="44">
        <v>4</v>
      </c>
      <c r="E171" s="44" t="s">
        <v>859</v>
      </c>
    </row>
    <row r="172" spans="1:6" ht="34.5" customHeight="1">
      <c r="A172" s="44" t="s">
        <v>408</v>
      </c>
      <c r="B172" s="44" t="s">
        <v>409</v>
      </c>
      <c r="C172" s="44" t="s">
        <v>106</v>
      </c>
      <c r="D172" s="44">
        <v>5</v>
      </c>
      <c r="E172" s="44" t="s">
        <v>851</v>
      </c>
    </row>
    <row r="173" spans="1:6" ht="34.5" customHeight="1">
      <c r="A173" s="44" t="s">
        <v>410</v>
      </c>
      <c r="B173" s="44" t="s">
        <v>411</v>
      </c>
      <c r="C173" s="44" t="s">
        <v>121</v>
      </c>
      <c r="D173" s="44">
        <v>4</v>
      </c>
      <c r="E173" s="44" t="s">
        <v>852</v>
      </c>
    </row>
    <row r="174" spans="1:6" ht="34.5" customHeight="1">
      <c r="A174" s="44" t="s">
        <v>412</v>
      </c>
      <c r="B174" s="44" t="s">
        <v>413</v>
      </c>
      <c r="C174" s="44" t="s">
        <v>8</v>
      </c>
      <c r="D174" s="44">
        <v>5</v>
      </c>
      <c r="E174" s="44" t="s">
        <v>853</v>
      </c>
    </row>
    <row r="175" spans="1:6" ht="34.5" customHeight="1">
      <c r="A175" s="44" t="s">
        <v>414</v>
      </c>
      <c r="B175" s="44" t="s">
        <v>415</v>
      </c>
      <c r="C175" s="44" t="s">
        <v>41</v>
      </c>
      <c r="D175" s="44">
        <v>5</v>
      </c>
      <c r="E175" s="44" t="s">
        <v>854</v>
      </c>
    </row>
    <row r="176" spans="1:6" ht="34.5" customHeight="1">
      <c r="A176" s="44" t="s">
        <v>417</v>
      </c>
      <c r="B176" s="44" t="s">
        <v>418</v>
      </c>
      <c r="C176" s="44" t="s">
        <v>41</v>
      </c>
      <c r="D176" s="44">
        <v>5</v>
      </c>
      <c r="E176" s="44" t="s">
        <v>855</v>
      </c>
    </row>
    <row r="177" spans="1:6" ht="34.5" customHeight="1">
      <c r="A177" s="44" t="s">
        <v>419</v>
      </c>
      <c r="B177" s="44" t="s">
        <v>420</v>
      </c>
      <c r="C177" s="44" t="s">
        <v>8</v>
      </c>
      <c r="D177" s="44">
        <v>5</v>
      </c>
      <c r="E177" s="44" t="s">
        <v>856</v>
      </c>
    </row>
    <row r="178" spans="1:6" ht="34.5" customHeight="1">
      <c r="A178" s="44" t="s">
        <v>422</v>
      </c>
      <c r="B178" s="44" t="s">
        <v>423</v>
      </c>
      <c r="C178" s="44" t="s">
        <v>100</v>
      </c>
      <c r="D178" s="44">
        <v>5</v>
      </c>
      <c r="E178" s="44" t="s">
        <v>857</v>
      </c>
    </row>
    <row r="179" spans="1:6" ht="34.5" customHeight="1">
      <c r="A179" s="44" t="s">
        <v>424</v>
      </c>
      <c r="B179" s="44" t="s">
        <v>543</v>
      </c>
      <c r="C179" s="44" t="s">
        <v>121</v>
      </c>
      <c r="D179" s="44">
        <v>5</v>
      </c>
      <c r="E179" s="44" t="s">
        <v>858</v>
      </c>
    </row>
    <row r="180" spans="1:6" ht="34.5" customHeight="1">
      <c r="A180" s="44" t="s">
        <v>425</v>
      </c>
      <c r="B180" s="44" t="s">
        <v>544</v>
      </c>
      <c r="C180" s="44" t="s">
        <v>224</v>
      </c>
      <c r="D180" s="44">
        <v>4</v>
      </c>
      <c r="E180" s="44" t="s">
        <v>860</v>
      </c>
      <c r="F180" s="44" t="s">
        <v>861</v>
      </c>
    </row>
    <row r="181" spans="1:6" ht="34.5" customHeight="1">
      <c r="A181" s="44" t="s">
        <v>426</v>
      </c>
      <c r="B181" s="44" t="s">
        <v>427</v>
      </c>
      <c r="C181" s="44" t="s">
        <v>164</v>
      </c>
      <c r="D181" s="44">
        <v>5</v>
      </c>
      <c r="E181" s="44" t="s">
        <v>862</v>
      </c>
      <c r="F181" s="44" t="s">
        <v>863</v>
      </c>
    </row>
    <row r="182" spans="1:6" ht="34.5" customHeight="1">
      <c r="A182" s="44" t="s">
        <v>428</v>
      </c>
      <c r="B182" s="44" t="s">
        <v>429</v>
      </c>
      <c r="C182" s="44" t="s">
        <v>29</v>
      </c>
      <c r="D182" s="44">
        <v>4</v>
      </c>
      <c r="E182" s="44" t="s">
        <v>864</v>
      </c>
    </row>
    <row r="183" spans="1:6" ht="34.5" customHeight="1">
      <c r="A183" s="44" t="s">
        <v>430</v>
      </c>
      <c r="B183" s="44" t="s">
        <v>431</v>
      </c>
      <c r="C183" s="44" t="s">
        <v>41</v>
      </c>
      <c r="D183" s="44">
        <v>5</v>
      </c>
      <c r="E183" s="44" t="s">
        <v>865</v>
      </c>
    </row>
    <row r="184" spans="1:6" ht="34.5" customHeight="1">
      <c r="A184" s="44" t="s">
        <v>432</v>
      </c>
      <c r="B184" s="44" t="s">
        <v>433</v>
      </c>
      <c r="C184" s="44" t="s">
        <v>41</v>
      </c>
      <c r="D184" s="44">
        <v>5</v>
      </c>
      <c r="E184" s="44" t="s">
        <v>866</v>
      </c>
    </row>
    <row r="185" spans="1:6" ht="34.5" customHeight="1">
      <c r="A185" s="44" t="s">
        <v>434</v>
      </c>
      <c r="B185" s="44" t="s">
        <v>435</v>
      </c>
      <c r="C185" s="44" t="s">
        <v>224</v>
      </c>
      <c r="D185" s="44">
        <v>5</v>
      </c>
      <c r="E185" s="44" t="s">
        <v>867</v>
      </c>
    </row>
    <row r="186" spans="1:6" ht="34.5" customHeight="1">
      <c r="A186" s="44" t="s">
        <v>438</v>
      </c>
      <c r="B186" s="44" t="s">
        <v>439</v>
      </c>
      <c r="C186" s="44" t="s">
        <v>74</v>
      </c>
      <c r="D186" s="44">
        <v>5</v>
      </c>
      <c r="E186" s="44" t="s">
        <v>868</v>
      </c>
    </row>
    <row r="187" spans="1:6" ht="34.5" customHeight="1">
      <c r="A187" s="44" t="s">
        <v>440</v>
      </c>
      <c r="B187" s="44" t="s">
        <v>441</v>
      </c>
      <c r="C187" s="44" t="s">
        <v>121</v>
      </c>
      <c r="D187" s="44">
        <v>5</v>
      </c>
      <c r="E187" s="44" t="s">
        <v>869</v>
      </c>
    </row>
    <row r="188" spans="1:6" ht="34.5" customHeight="1">
      <c r="A188" s="44" t="s">
        <v>442</v>
      </c>
      <c r="B188" s="44" t="s">
        <v>443</v>
      </c>
      <c r="C188" s="44" t="s">
        <v>299</v>
      </c>
      <c r="D188" s="44">
        <v>5</v>
      </c>
      <c r="E188" s="44" t="s">
        <v>870</v>
      </c>
    </row>
    <row r="189" spans="1:6" ht="34.5" customHeight="1">
      <c r="A189" s="44" t="s">
        <v>444</v>
      </c>
      <c r="B189" s="44" t="s">
        <v>445</v>
      </c>
      <c r="C189" s="44" t="s">
        <v>299</v>
      </c>
      <c r="D189" s="44">
        <v>4</v>
      </c>
      <c r="E189" s="44" t="s">
        <v>872</v>
      </c>
      <c r="F189" s="44" t="s">
        <v>873</v>
      </c>
    </row>
    <row r="190" spans="1:6" ht="34.5" customHeight="1">
      <c r="A190" s="44" t="s">
        <v>446</v>
      </c>
      <c r="B190" s="44" t="s">
        <v>447</v>
      </c>
      <c r="C190" s="44" t="s">
        <v>266</v>
      </c>
      <c r="D190" s="44">
        <v>4</v>
      </c>
      <c r="E190" s="44" t="s">
        <v>874</v>
      </c>
      <c r="F190" s="44" t="s">
        <v>875</v>
      </c>
    </row>
    <row r="191" spans="1:6" ht="34.5" customHeight="1">
      <c r="A191" s="44" t="s">
        <v>448</v>
      </c>
      <c r="B191" s="44" t="s">
        <v>449</v>
      </c>
      <c r="C191" s="44" t="s">
        <v>74</v>
      </c>
      <c r="D191" s="44">
        <v>4</v>
      </c>
      <c r="E191" s="44" t="s">
        <v>876</v>
      </c>
      <c r="F191" s="44" t="s">
        <v>877</v>
      </c>
    </row>
    <row r="192" spans="1:6" ht="34.5" customHeight="1">
      <c r="A192" s="44" t="s">
        <v>450</v>
      </c>
      <c r="B192" s="44" t="s">
        <v>451</v>
      </c>
      <c r="C192" s="44" t="s">
        <v>266</v>
      </c>
      <c r="D192" s="44">
        <v>4</v>
      </c>
      <c r="E192" s="44" t="s">
        <v>878</v>
      </c>
      <c r="F192" s="44" t="s">
        <v>879</v>
      </c>
    </row>
    <row r="193" spans="1:6" ht="34.5" customHeight="1">
      <c r="A193" s="44" t="s">
        <v>452</v>
      </c>
      <c r="B193" s="44" t="s">
        <v>453</v>
      </c>
      <c r="C193" s="44" t="s">
        <v>29</v>
      </c>
      <c r="D193" s="44">
        <v>5</v>
      </c>
      <c r="E193" s="44" t="s">
        <v>880</v>
      </c>
      <c r="F193" s="44" t="s">
        <v>881</v>
      </c>
    </row>
    <row r="194" spans="1:6" ht="34.5" customHeight="1">
      <c r="A194" s="44" t="s">
        <v>455</v>
      </c>
      <c r="B194" s="44" t="s">
        <v>456</v>
      </c>
      <c r="C194" s="44" t="s">
        <v>41</v>
      </c>
      <c r="D194" s="44">
        <v>4</v>
      </c>
      <c r="E194" s="44" t="s">
        <v>882</v>
      </c>
      <c r="F194" s="44" t="s">
        <v>883</v>
      </c>
    </row>
    <row r="195" spans="1:6" ht="34.5" customHeight="1">
      <c r="A195" s="44" t="s">
        <v>459</v>
      </c>
      <c r="B195" s="44" t="s">
        <v>460</v>
      </c>
      <c r="C195" s="44" t="s">
        <v>121</v>
      </c>
      <c r="D195" s="44">
        <v>5</v>
      </c>
      <c r="E195" s="44" t="s">
        <v>884</v>
      </c>
      <c r="F195" s="44" t="s">
        <v>885</v>
      </c>
    </row>
    <row r="196" spans="1:6" ht="34.5" customHeight="1">
      <c r="A196" s="44" t="s">
        <v>871</v>
      </c>
      <c r="B196" s="44" t="s">
        <v>462</v>
      </c>
      <c r="C196" s="44" t="s">
        <v>233</v>
      </c>
      <c r="D196" s="44">
        <v>5</v>
      </c>
      <c r="E196" s="44" t="s">
        <v>886</v>
      </c>
      <c r="F196" s="44" t="s">
        <v>887</v>
      </c>
    </row>
    <row r="197" spans="1:6" ht="34.5" customHeight="1">
      <c r="A197" s="44" t="s">
        <v>463</v>
      </c>
      <c r="B197" s="44" t="s">
        <v>464</v>
      </c>
      <c r="C197" s="44" t="s">
        <v>164</v>
      </c>
      <c r="D197" s="44">
        <v>5</v>
      </c>
      <c r="E197" s="44" t="s">
        <v>888</v>
      </c>
      <c r="F197" s="44" t="s">
        <v>889</v>
      </c>
    </row>
    <row r="198" spans="1:6" ht="34.5" customHeight="1">
      <c r="A198" s="44" t="s">
        <v>465</v>
      </c>
      <c r="B198" s="44" t="s">
        <v>466</v>
      </c>
      <c r="C198" s="44" t="s">
        <v>8</v>
      </c>
      <c r="D198" s="44">
        <v>4</v>
      </c>
    </row>
    <row r="199" spans="1:6" ht="34.5" customHeight="1">
      <c r="A199" s="44" t="s">
        <v>469</v>
      </c>
      <c r="B199" s="44" t="s">
        <v>470</v>
      </c>
      <c r="C199" s="44" t="s">
        <v>106</v>
      </c>
      <c r="D199" s="44">
        <v>5</v>
      </c>
      <c r="E199" s="44" t="s">
        <v>890</v>
      </c>
    </row>
    <row r="200" spans="1:6" ht="34.5" customHeight="1">
      <c r="A200" s="44" t="s">
        <v>476</v>
      </c>
      <c r="B200" s="44" t="s">
        <v>477</v>
      </c>
      <c r="C200" s="44" t="s">
        <v>29</v>
      </c>
      <c r="D200" s="44">
        <v>4</v>
      </c>
      <c r="E200" s="44" t="s">
        <v>891</v>
      </c>
      <c r="F200" s="44" t="s">
        <v>892</v>
      </c>
    </row>
    <row r="201" spans="1:6" ht="34.5" customHeight="1">
      <c r="A201" s="44" t="s">
        <v>478</v>
      </c>
      <c r="B201" s="44" t="s">
        <v>479</v>
      </c>
      <c r="C201" s="44" t="s">
        <v>121</v>
      </c>
      <c r="D201" s="44">
        <v>4</v>
      </c>
      <c r="E201" s="44" t="s">
        <v>893</v>
      </c>
      <c r="F201" s="44" t="s">
        <v>894</v>
      </c>
    </row>
    <row r="202" spans="1:6" ht="34.5" customHeight="1">
      <c r="A202" s="44" t="s">
        <v>480</v>
      </c>
      <c r="B202" s="44" t="s">
        <v>481</v>
      </c>
      <c r="C202" s="44" t="s">
        <v>121</v>
      </c>
      <c r="D202" s="44">
        <v>5</v>
      </c>
      <c r="E202" s="44" t="s">
        <v>895</v>
      </c>
      <c r="F202" s="44" t="s">
        <v>896</v>
      </c>
    </row>
    <row r="203" spans="1:6" ht="34.5" customHeight="1">
      <c r="A203" s="44" t="s">
        <v>483</v>
      </c>
      <c r="B203" s="44" t="s">
        <v>484</v>
      </c>
      <c r="C203" s="44" t="s">
        <v>29</v>
      </c>
      <c r="D203" s="44">
        <v>5</v>
      </c>
      <c r="E203" s="44" t="s">
        <v>897</v>
      </c>
      <c r="F203" s="44" t="s">
        <v>898</v>
      </c>
    </row>
    <row r="204" spans="1:6" ht="34.5" customHeight="1">
      <c r="A204" s="44" t="s">
        <v>485</v>
      </c>
      <c r="B204" s="44" t="s">
        <v>486</v>
      </c>
      <c r="C204" s="44" t="s">
        <v>41</v>
      </c>
      <c r="D204" s="44">
        <v>4</v>
      </c>
      <c r="E204" s="44" t="s">
        <v>899</v>
      </c>
      <c r="F204" s="44" t="s">
        <v>900</v>
      </c>
    </row>
    <row r="205" spans="1:6" ht="34.5" customHeight="1">
      <c r="A205" s="44" t="s">
        <v>489</v>
      </c>
      <c r="B205" s="44" t="s">
        <v>490</v>
      </c>
      <c r="C205" s="44" t="s">
        <v>38</v>
      </c>
      <c r="D205" s="44">
        <v>4</v>
      </c>
      <c r="E205" s="44" t="s">
        <v>901</v>
      </c>
      <c r="F205" s="44" t="s">
        <v>902</v>
      </c>
    </row>
    <row r="206" spans="1:6" ht="34.5" customHeight="1">
      <c r="A206" s="44" t="s">
        <v>491</v>
      </c>
      <c r="B206" s="44" t="s">
        <v>492</v>
      </c>
      <c r="C206" s="44" t="s">
        <v>404</v>
      </c>
      <c r="D206" s="44">
        <v>5</v>
      </c>
      <c r="E206" s="44" t="s">
        <v>903</v>
      </c>
      <c r="F206" s="44" t="s">
        <v>904</v>
      </c>
    </row>
    <row r="207" spans="1:6" ht="34.5" customHeight="1">
      <c r="A207" s="44" t="s">
        <v>493</v>
      </c>
      <c r="B207" s="44" t="s">
        <v>494</v>
      </c>
      <c r="C207" s="44" t="s">
        <v>121</v>
      </c>
      <c r="D207" s="44">
        <v>5</v>
      </c>
      <c r="E207" s="44" t="s">
        <v>905</v>
      </c>
      <c r="F207" s="44" t="s">
        <v>906</v>
      </c>
    </row>
    <row r="208" spans="1:6" ht="34.5" customHeight="1">
      <c r="A208" s="44" t="s">
        <v>495</v>
      </c>
      <c r="B208" s="44" t="s">
        <v>496</v>
      </c>
      <c r="C208" s="44" t="s">
        <v>497</v>
      </c>
      <c r="D208" s="44">
        <v>4</v>
      </c>
      <c r="E208" s="44" t="s">
        <v>907</v>
      </c>
      <c r="F208" s="44" t="s">
        <v>908</v>
      </c>
    </row>
    <row r="209" spans="1:6" ht="34.5" customHeight="1">
      <c r="A209" s="44" t="s">
        <v>500</v>
      </c>
      <c r="B209" s="44" t="s">
        <v>501</v>
      </c>
      <c r="C209" s="44" t="s">
        <v>8</v>
      </c>
      <c r="D209" s="44">
        <v>5</v>
      </c>
      <c r="E209" s="44" t="s">
        <v>909</v>
      </c>
      <c r="F209" s="44" t="s">
        <v>910</v>
      </c>
    </row>
    <row r="210" spans="1:6" ht="34.5" customHeight="1">
      <c r="A210" s="44" t="s">
        <v>502</v>
      </c>
      <c r="B210" s="44" t="s">
        <v>503</v>
      </c>
      <c r="C210" s="44" t="s">
        <v>341</v>
      </c>
      <c r="D210" s="44">
        <v>4</v>
      </c>
      <c r="E210" s="44" t="s">
        <v>911</v>
      </c>
      <c r="F210" s="44" t="s">
        <v>912</v>
      </c>
    </row>
    <row r="211" spans="1:6" ht="34.5" customHeight="1">
      <c r="A211" s="44" t="s">
        <v>504</v>
      </c>
      <c r="B211" s="44" t="s">
        <v>505</v>
      </c>
      <c r="C211" s="44" t="s">
        <v>506</v>
      </c>
      <c r="D211" s="44">
        <v>4</v>
      </c>
      <c r="E211" s="44" t="s">
        <v>913</v>
      </c>
      <c r="F211" s="44" t="s">
        <v>914</v>
      </c>
    </row>
    <row r="212" spans="1:6" ht="34.5" customHeight="1">
      <c r="A212" s="44" t="s">
        <v>361</v>
      </c>
      <c r="B212" s="44" t="s">
        <v>362</v>
      </c>
      <c r="C212" s="44" t="s">
        <v>164</v>
      </c>
      <c r="D212" s="44">
        <v>5</v>
      </c>
      <c r="E212" s="44" t="s">
        <v>915</v>
      </c>
      <c r="F212" s="44" t="s">
        <v>916</v>
      </c>
    </row>
    <row r="213" spans="1:6" ht="34.5" customHeight="1">
      <c r="A213" s="42" t="s">
        <v>6</v>
      </c>
      <c r="B213" s="43" t="s">
        <v>7</v>
      </c>
      <c r="C213" s="43" t="s">
        <v>8</v>
      </c>
      <c r="D213" s="37">
        <v>3</v>
      </c>
      <c r="E213" s="38" t="s">
        <v>1149</v>
      </c>
      <c r="F213" s="39" t="s">
        <v>1150</v>
      </c>
    </row>
    <row r="214" spans="1:6" ht="34.5" customHeight="1">
      <c r="A214" s="40" t="s">
        <v>9</v>
      </c>
      <c r="B214" s="41" t="s">
        <v>10</v>
      </c>
      <c r="C214" s="41" t="s">
        <v>11</v>
      </c>
      <c r="D214" s="37">
        <v>4</v>
      </c>
      <c r="E214" s="38" t="s">
        <v>1151</v>
      </c>
      <c r="F214" s="39" t="s">
        <v>1152</v>
      </c>
    </row>
    <row r="215" spans="1:6" ht="34.5" customHeight="1">
      <c r="A215" s="42" t="s">
        <v>14</v>
      </c>
      <c r="B215" s="43" t="s">
        <v>15</v>
      </c>
      <c r="C215" s="43" t="s">
        <v>16</v>
      </c>
      <c r="D215" s="37">
        <v>3</v>
      </c>
      <c r="E215" s="38" t="s">
        <v>1153</v>
      </c>
      <c r="F215" s="39" t="s">
        <v>1154</v>
      </c>
    </row>
    <row r="216" spans="1:6" ht="34.5" customHeight="1">
      <c r="A216" s="40" t="s">
        <v>17</v>
      </c>
      <c r="B216" s="41" t="s">
        <v>18</v>
      </c>
      <c r="C216" s="41" t="s">
        <v>11</v>
      </c>
      <c r="D216" s="37">
        <v>4</v>
      </c>
      <c r="E216" s="38" t="s">
        <v>1155</v>
      </c>
      <c r="F216" s="39" t="s">
        <v>1156</v>
      </c>
    </row>
    <row r="217" spans="1:6" ht="34.5" customHeight="1">
      <c r="A217" s="42" t="s">
        <v>19</v>
      </c>
      <c r="B217" s="43" t="s">
        <v>20</v>
      </c>
      <c r="C217" s="43" t="s">
        <v>11</v>
      </c>
      <c r="D217" s="37">
        <v>5</v>
      </c>
      <c r="E217" s="39" t="s">
        <v>1157</v>
      </c>
      <c r="F217" s="38"/>
    </row>
    <row r="218" spans="1:6" ht="34.5" customHeight="1">
      <c r="A218" s="40" t="s">
        <v>21</v>
      </c>
      <c r="B218" s="41" t="s">
        <v>22</v>
      </c>
      <c r="C218" s="41" t="s">
        <v>16</v>
      </c>
      <c r="D218" s="37">
        <v>4</v>
      </c>
      <c r="E218" s="38" t="s">
        <v>1158</v>
      </c>
      <c r="F218" s="38"/>
    </row>
    <row r="219" spans="1:6" ht="34.5" customHeight="1">
      <c r="A219" s="42" t="s">
        <v>23</v>
      </c>
      <c r="B219" s="43" t="s">
        <v>24</v>
      </c>
      <c r="C219" s="43" t="s">
        <v>25</v>
      </c>
      <c r="D219" s="37">
        <v>4</v>
      </c>
      <c r="E219" s="38" t="s">
        <v>1159</v>
      </c>
      <c r="F219" s="39" t="s">
        <v>1160</v>
      </c>
    </row>
    <row r="220" spans="1:6" ht="34.5" customHeight="1">
      <c r="A220" s="40" t="s">
        <v>27</v>
      </c>
      <c r="B220" s="41" t="s">
        <v>28</v>
      </c>
      <c r="C220" s="41" t="s">
        <v>29</v>
      </c>
      <c r="D220" s="37">
        <v>4</v>
      </c>
      <c r="E220" s="38" t="s">
        <v>1161</v>
      </c>
      <c r="F220" s="38"/>
    </row>
    <row r="221" spans="1:6" ht="34.5" customHeight="1">
      <c r="A221" s="42" t="s">
        <v>31</v>
      </c>
      <c r="B221" s="43" t="s">
        <v>32</v>
      </c>
      <c r="C221" s="43" t="s">
        <v>33</v>
      </c>
      <c r="D221" s="37">
        <v>3</v>
      </c>
      <c r="E221" s="38" t="s">
        <v>1162</v>
      </c>
      <c r="F221" s="39" t="s">
        <v>1163</v>
      </c>
    </row>
    <row r="222" spans="1:6" ht="34.5" customHeight="1">
      <c r="A222" s="40" t="s">
        <v>34</v>
      </c>
      <c r="B222" s="41" t="s">
        <v>35</v>
      </c>
      <c r="C222" s="43" t="s">
        <v>33</v>
      </c>
      <c r="D222" s="37">
        <v>4</v>
      </c>
      <c r="E222" s="38" t="s">
        <v>1164</v>
      </c>
      <c r="F222" s="39" t="s">
        <v>1165</v>
      </c>
    </row>
    <row r="223" spans="1:6" ht="34.5" customHeight="1">
      <c r="A223" s="42"/>
      <c r="B223" s="43"/>
      <c r="C223" s="43"/>
      <c r="D223" s="37"/>
      <c r="E223" s="38"/>
      <c r="F223" s="39"/>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34"/>
  <sheetViews>
    <sheetView tabSelected="1" topLeftCell="D1" zoomScale="42" zoomScaleNormal="70" workbookViewId="0">
      <selection activeCell="M2" sqref="M2:M234"/>
    </sheetView>
  </sheetViews>
  <sheetFormatPr defaultRowHeight="14.25"/>
  <cols>
    <col min="1" max="1" width="35.1328125" style="30" bestFit="1" customWidth="1"/>
    <col min="2" max="2" width="6.33203125" style="30" bestFit="1" customWidth="1"/>
    <col min="3" max="3" width="50.6640625" style="30" customWidth="1"/>
    <col min="4" max="4" width="47.53125" style="30" customWidth="1"/>
    <col min="5" max="5" width="42.796875" style="30" customWidth="1"/>
    <col min="6" max="6" width="30" style="30" customWidth="1"/>
    <col min="7" max="7" width="23.9296875" style="30" bestFit="1" customWidth="1"/>
    <col min="8" max="8" width="22.9296875" style="30" customWidth="1"/>
    <col min="9" max="9" width="50.1328125" style="30" customWidth="1"/>
    <col min="10" max="10" width="42.86328125" style="30" customWidth="1"/>
    <col min="11" max="11" width="19.86328125" style="30" bestFit="1" customWidth="1"/>
    <col min="12" max="12" width="25.73046875" style="30" bestFit="1" customWidth="1"/>
    <col min="13" max="13" width="20.3984375" style="30" customWidth="1"/>
    <col min="14" max="16384" width="9.06640625" style="30"/>
  </cols>
  <sheetData>
    <row r="1" spans="1:13">
      <c r="A1" s="30" t="s">
        <v>1</v>
      </c>
      <c r="B1" s="30" t="s">
        <v>2</v>
      </c>
      <c r="C1" s="30" t="s">
        <v>3</v>
      </c>
      <c r="D1" s="30" t="s">
        <v>4</v>
      </c>
      <c r="E1" s="30" t="s">
        <v>5</v>
      </c>
      <c r="F1" s="30" t="s">
        <v>333</v>
      </c>
      <c r="G1" s="30" t="s">
        <v>331</v>
      </c>
      <c r="H1" s="30" t="s">
        <v>335</v>
      </c>
      <c r="I1" s="30" t="s">
        <v>328</v>
      </c>
      <c r="J1" s="30" t="s">
        <v>329</v>
      </c>
      <c r="K1" s="30" t="s">
        <v>332</v>
      </c>
      <c r="L1" s="30" t="s">
        <v>334</v>
      </c>
      <c r="M1" s="30" t="s">
        <v>336</v>
      </c>
    </row>
    <row r="2" spans="1:13" ht="42.75">
      <c r="A2" s="30" t="s">
        <v>6</v>
      </c>
      <c r="B2" s="30">
        <v>401</v>
      </c>
      <c r="C2" s="30" t="s">
        <v>7</v>
      </c>
      <c r="D2" s="30" t="s">
        <v>8</v>
      </c>
      <c r="H2" s="30">
        <v>3</v>
      </c>
      <c r="I2" s="30" t="s">
        <v>7</v>
      </c>
      <c r="J2" s="30" t="s">
        <v>8</v>
      </c>
      <c r="L2" s="30">
        <v>58</v>
      </c>
      <c r="M2" s="30">
        <v>5</v>
      </c>
    </row>
    <row r="3" spans="1:13" ht="28.5">
      <c r="A3" s="30" t="s">
        <v>9</v>
      </c>
      <c r="B3" s="30">
        <v>401</v>
      </c>
      <c r="C3" s="30" t="s">
        <v>10</v>
      </c>
      <c r="D3" s="30" t="s">
        <v>11</v>
      </c>
      <c r="H3" s="30">
        <v>4</v>
      </c>
      <c r="I3" s="30" t="s">
        <v>10</v>
      </c>
      <c r="J3" s="30" t="s">
        <v>11</v>
      </c>
      <c r="L3" s="30">
        <v>42</v>
      </c>
      <c r="M3" s="30">
        <v>4</v>
      </c>
    </row>
    <row r="4" spans="1:13" ht="42.75">
      <c r="A4" s="30" t="s">
        <v>12</v>
      </c>
      <c r="B4" s="30">
        <v>401</v>
      </c>
      <c r="C4" s="30" t="s">
        <v>13</v>
      </c>
      <c r="D4" s="30" t="s">
        <v>8</v>
      </c>
      <c r="H4" s="30" t="e">
        <v>#N/A</v>
      </c>
      <c r="I4" s="30" t="s">
        <v>13</v>
      </c>
      <c r="J4" s="30" t="s">
        <v>8</v>
      </c>
      <c r="L4" s="30">
        <v>36</v>
      </c>
      <c r="M4" s="30">
        <v>5</v>
      </c>
    </row>
    <row r="5" spans="1:13" ht="42.75">
      <c r="A5" s="30" t="s">
        <v>14</v>
      </c>
      <c r="B5" s="30">
        <v>401</v>
      </c>
      <c r="C5" s="30" t="s">
        <v>15</v>
      </c>
      <c r="D5" s="30" t="s">
        <v>16</v>
      </c>
      <c r="H5" s="30">
        <v>3</v>
      </c>
      <c r="I5" s="30" t="s">
        <v>15</v>
      </c>
      <c r="J5" s="30" t="s">
        <v>16</v>
      </c>
      <c r="L5" s="30">
        <v>49</v>
      </c>
      <c r="M5" s="30">
        <v>4</v>
      </c>
    </row>
    <row r="6" spans="1:13" ht="28.5">
      <c r="A6" s="30" t="s">
        <v>17</v>
      </c>
      <c r="B6" s="30">
        <v>401</v>
      </c>
      <c r="C6" s="30" t="s">
        <v>18</v>
      </c>
      <c r="D6" s="30" t="s">
        <v>11</v>
      </c>
      <c r="H6" s="30">
        <v>4</v>
      </c>
      <c r="I6" s="30" t="s">
        <v>18</v>
      </c>
      <c r="J6" s="30" t="s">
        <v>11</v>
      </c>
      <c r="L6" s="30">
        <v>66</v>
      </c>
      <c r="M6" s="30">
        <v>4</v>
      </c>
    </row>
    <row r="7" spans="1:13" ht="28.5">
      <c r="A7" s="30" t="s">
        <v>19</v>
      </c>
      <c r="B7" s="30">
        <v>401</v>
      </c>
      <c r="C7" s="30" t="s">
        <v>20</v>
      </c>
      <c r="D7" s="30" t="s">
        <v>11</v>
      </c>
      <c r="H7" s="30">
        <v>5</v>
      </c>
      <c r="I7" s="30" t="s">
        <v>20</v>
      </c>
      <c r="J7" s="30" t="s">
        <v>11</v>
      </c>
      <c r="L7" s="30">
        <v>42</v>
      </c>
      <c r="M7" s="30">
        <v>5</v>
      </c>
    </row>
    <row r="8" spans="1:13" ht="28.5">
      <c r="A8" s="30" t="s">
        <v>21</v>
      </c>
      <c r="B8" s="30">
        <v>401</v>
      </c>
      <c r="C8" s="30" t="s">
        <v>22</v>
      </c>
      <c r="D8" s="30" t="s">
        <v>16</v>
      </c>
      <c r="H8" s="30">
        <v>4</v>
      </c>
      <c r="I8" s="30" t="s">
        <v>22</v>
      </c>
      <c r="J8" s="30" t="s">
        <v>16</v>
      </c>
      <c r="L8" s="30">
        <v>46</v>
      </c>
      <c r="M8" s="30">
        <v>5</v>
      </c>
    </row>
    <row r="9" spans="1:13" ht="42.75">
      <c r="A9" s="30" t="s">
        <v>23</v>
      </c>
      <c r="B9" s="30">
        <v>401</v>
      </c>
      <c r="C9" s="30" t="s">
        <v>24</v>
      </c>
      <c r="D9" s="30" t="s">
        <v>25</v>
      </c>
      <c r="E9" s="30" t="s">
        <v>26</v>
      </c>
      <c r="H9" s="30">
        <v>4</v>
      </c>
      <c r="I9" s="30" t="s">
        <v>24</v>
      </c>
      <c r="J9" s="30" t="s">
        <v>25</v>
      </c>
      <c r="L9" s="30">
        <v>84</v>
      </c>
      <c r="M9" s="30">
        <v>5</v>
      </c>
    </row>
    <row r="10" spans="1:13" ht="42.75">
      <c r="A10" s="30" t="s">
        <v>27</v>
      </c>
      <c r="B10" s="30">
        <v>401</v>
      </c>
      <c r="C10" s="30" t="s">
        <v>28</v>
      </c>
      <c r="D10" s="30" t="s">
        <v>29</v>
      </c>
      <c r="E10" s="30" t="s">
        <v>30</v>
      </c>
      <c r="H10" s="30">
        <v>4</v>
      </c>
      <c r="I10" s="30" t="s">
        <v>28</v>
      </c>
      <c r="J10" s="30" t="s">
        <v>29</v>
      </c>
      <c r="L10" s="30">
        <v>113</v>
      </c>
      <c r="M10" s="30">
        <v>4</v>
      </c>
    </row>
    <row r="11" spans="1:13" ht="42.75">
      <c r="A11" s="30" t="s">
        <v>31</v>
      </c>
      <c r="B11" s="30">
        <v>401</v>
      </c>
      <c r="C11" s="30" t="s">
        <v>32</v>
      </c>
      <c r="D11" s="30" t="s">
        <v>33</v>
      </c>
      <c r="H11" s="30">
        <v>3</v>
      </c>
      <c r="I11" s="30" t="s">
        <v>32</v>
      </c>
      <c r="J11" s="30" t="s">
        <v>33</v>
      </c>
      <c r="L11" s="30">
        <v>44</v>
      </c>
      <c r="M11" s="30">
        <v>3</v>
      </c>
    </row>
    <row r="12" spans="1:13" ht="42.75">
      <c r="A12" s="30" t="s">
        <v>34</v>
      </c>
      <c r="B12" s="30">
        <v>401</v>
      </c>
      <c r="C12" s="30" t="s">
        <v>35</v>
      </c>
      <c r="D12" s="30" t="s">
        <v>304</v>
      </c>
      <c r="H12" s="30">
        <v>4</v>
      </c>
      <c r="I12" s="30" t="s">
        <v>35</v>
      </c>
      <c r="J12" s="30" t="s">
        <v>304</v>
      </c>
      <c r="L12" s="30">
        <v>50</v>
      </c>
      <c r="M12" s="30">
        <v>5</v>
      </c>
    </row>
    <row r="13" spans="1:13" ht="42.75">
      <c r="A13" s="30" t="s">
        <v>36</v>
      </c>
      <c r="B13" s="30">
        <v>401</v>
      </c>
      <c r="C13" s="30" t="s">
        <v>37</v>
      </c>
      <c r="D13" s="30" t="s">
        <v>38</v>
      </c>
      <c r="G13" s="30" t="s">
        <v>596</v>
      </c>
      <c r="H13" s="30" t="e">
        <v>#N/A</v>
      </c>
      <c r="I13" s="30" t="s">
        <v>35</v>
      </c>
      <c r="J13" s="30" t="s">
        <v>304</v>
      </c>
      <c r="M13" s="30" t="e">
        <v>#N/A</v>
      </c>
    </row>
    <row r="14" spans="1:13" ht="28.5">
      <c r="A14" s="30" t="s">
        <v>39</v>
      </c>
      <c r="B14" s="30">
        <v>401</v>
      </c>
      <c r="C14" s="30" t="s">
        <v>40</v>
      </c>
      <c r="D14" s="30" t="s">
        <v>41</v>
      </c>
      <c r="H14" s="30">
        <v>4</v>
      </c>
      <c r="I14" s="30" t="s">
        <v>40</v>
      </c>
      <c r="J14" s="30" t="s">
        <v>41</v>
      </c>
      <c r="L14" s="30">
        <v>58</v>
      </c>
      <c r="M14" s="30">
        <v>5</v>
      </c>
    </row>
    <row r="15" spans="1:13" ht="28.5">
      <c r="A15" s="30" t="s">
        <v>42</v>
      </c>
      <c r="B15" s="30">
        <v>401</v>
      </c>
      <c r="C15" s="30" t="s">
        <v>43</v>
      </c>
      <c r="D15" s="30" t="s">
        <v>11</v>
      </c>
      <c r="H15" s="30">
        <v>5</v>
      </c>
      <c r="I15" s="30" t="s">
        <v>43</v>
      </c>
      <c r="J15" s="30" t="s">
        <v>11</v>
      </c>
      <c r="L15" s="30">
        <v>42</v>
      </c>
      <c r="M15" s="30">
        <v>5</v>
      </c>
    </row>
    <row r="16" spans="1:13" ht="42.75">
      <c r="A16" s="30" t="s">
        <v>44</v>
      </c>
      <c r="B16" s="30">
        <v>401</v>
      </c>
      <c r="C16" s="30" t="s">
        <v>45</v>
      </c>
      <c r="D16" s="30" t="s">
        <v>46</v>
      </c>
      <c r="H16" s="30">
        <v>5</v>
      </c>
      <c r="I16" s="30" t="s">
        <v>45</v>
      </c>
      <c r="J16" s="30" t="s">
        <v>46</v>
      </c>
      <c r="L16" s="30">
        <v>51</v>
      </c>
      <c r="M16" s="30">
        <v>5</v>
      </c>
    </row>
    <row r="17" spans="1:13" ht="28.5">
      <c r="A17" s="30" t="s">
        <v>47</v>
      </c>
      <c r="B17" s="30">
        <v>401</v>
      </c>
      <c r="C17" s="30" t="s">
        <v>48</v>
      </c>
      <c r="D17" s="30" t="s">
        <v>11</v>
      </c>
      <c r="H17" s="30">
        <v>4</v>
      </c>
      <c r="I17" s="30" t="s">
        <v>48</v>
      </c>
      <c r="J17" s="30" t="s">
        <v>11</v>
      </c>
      <c r="L17" s="30">
        <v>41</v>
      </c>
      <c r="M17" s="30">
        <v>5</v>
      </c>
    </row>
    <row r="18" spans="1:13" ht="42.75">
      <c r="A18" s="30" t="s">
        <v>49</v>
      </c>
      <c r="B18" s="30">
        <v>401</v>
      </c>
      <c r="C18" s="30" t="s">
        <v>305</v>
      </c>
      <c r="D18" s="30" t="s">
        <v>46</v>
      </c>
      <c r="H18" s="30">
        <v>4</v>
      </c>
      <c r="I18" s="30" t="s">
        <v>305</v>
      </c>
      <c r="J18" s="30" t="s">
        <v>46</v>
      </c>
      <c r="L18" s="30">
        <v>72</v>
      </c>
      <c r="M18" s="30">
        <v>4</v>
      </c>
    </row>
    <row r="19" spans="1:13" ht="28.5">
      <c r="A19" s="30" t="s">
        <v>50</v>
      </c>
      <c r="B19" s="30">
        <v>401</v>
      </c>
      <c r="C19" s="30" t="s">
        <v>51</v>
      </c>
      <c r="D19" s="30" t="s">
        <v>8</v>
      </c>
      <c r="H19" s="30" t="e">
        <v>#N/A</v>
      </c>
      <c r="I19" s="30" t="s">
        <v>51</v>
      </c>
      <c r="J19" s="30" t="s">
        <v>8</v>
      </c>
      <c r="L19" s="30">
        <v>35</v>
      </c>
      <c r="M19" s="30">
        <v>5</v>
      </c>
    </row>
    <row r="20" spans="1:13" ht="42.75">
      <c r="A20" s="30" t="s">
        <v>52</v>
      </c>
      <c r="B20" s="30">
        <v>401</v>
      </c>
      <c r="C20" s="30" t="s">
        <v>53</v>
      </c>
      <c r="D20" s="30" t="s">
        <v>54</v>
      </c>
      <c r="E20" s="30" t="s">
        <v>29</v>
      </c>
      <c r="H20" s="30">
        <v>4</v>
      </c>
      <c r="I20" s="30" t="s">
        <v>53</v>
      </c>
      <c r="J20" s="30" t="s">
        <v>54</v>
      </c>
      <c r="L20" s="30">
        <v>51</v>
      </c>
      <c r="M20" s="30">
        <v>4</v>
      </c>
    </row>
    <row r="21" spans="1:13" ht="42.75">
      <c r="A21" s="30" t="s">
        <v>55</v>
      </c>
      <c r="B21" s="30">
        <v>401</v>
      </c>
      <c r="C21" s="30" t="s">
        <v>56</v>
      </c>
      <c r="D21" s="30" t="s">
        <v>306</v>
      </c>
      <c r="H21" s="30" t="e">
        <v>#N/A</v>
      </c>
      <c r="I21" s="30" t="s">
        <v>56</v>
      </c>
      <c r="J21" s="30" t="s">
        <v>306</v>
      </c>
      <c r="L21" s="30">
        <v>47</v>
      </c>
      <c r="M21" s="30">
        <v>4</v>
      </c>
    </row>
    <row r="22" spans="1:13" ht="71.25">
      <c r="A22" s="30" t="s">
        <v>57</v>
      </c>
      <c r="B22" s="30">
        <v>401</v>
      </c>
      <c r="C22" s="30" t="s">
        <v>58</v>
      </c>
      <c r="D22" s="30" t="s">
        <v>59</v>
      </c>
      <c r="E22" s="30" t="s">
        <v>324</v>
      </c>
      <c r="H22" s="30">
        <v>3</v>
      </c>
      <c r="I22" s="30" t="s">
        <v>58</v>
      </c>
      <c r="J22" s="30" t="s">
        <v>59</v>
      </c>
      <c r="L22" s="30">
        <v>47</v>
      </c>
      <c r="M22" s="30">
        <v>4</v>
      </c>
    </row>
    <row r="23" spans="1:13" ht="42.75">
      <c r="A23" s="30" t="s">
        <v>61</v>
      </c>
      <c r="B23" s="30">
        <v>401</v>
      </c>
      <c r="C23" s="30" t="s">
        <v>62</v>
      </c>
      <c r="D23" s="30" t="s">
        <v>308</v>
      </c>
      <c r="H23" s="30">
        <v>4</v>
      </c>
      <c r="I23" s="30" t="s">
        <v>62</v>
      </c>
      <c r="J23" s="30" t="s">
        <v>308</v>
      </c>
      <c r="L23" s="30">
        <v>53</v>
      </c>
      <c r="M23" s="30">
        <v>5</v>
      </c>
    </row>
    <row r="24" spans="1:13" ht="42.75">
      <c r="A24" s="30" t="s">
        <v>63</v>
      </c>
      <c r="B24" s="30">
        <v>401</v>
      </c>
      <c r="C24" s="30" t="s">
        <v>64</v>
      </c>
      <c r="D24" s="30" t="s">
        <v>309</v>
      </c>
      <c r="H24" s="30">
        <v>4</v>
      </c>
      <c r="I24" s="30" t="s">
        <v>64</v>
      </c>
      <c r="J24" s="30" t="s">
        <v>309</v>
      </c>
      <c r="L24" s="30">
        <v>42</v>
      </c>
      <c r="M24" s="30">
        <v>5</v>
      </c>
    </row>
    <row r="25" spans="1:13" ht="57">
      <c r="A25" s="30" t="s">
        <v>65</v>
      </c>
      <c r="B25" s="30">
        <v>401</v>
      </c>
      <c r="C25" s="30" t="s">
        <v>66</v>
      </c>
      <c r="D25" s="30" t="s">
        <v>310</v>
      </c>
      <c r="H25" s="30">
        <v>4</v>
      </c>
      <c r="I25" s="30" t="s">
        <v>66</v>
      </c>
      <c r="J25" s="30" t="s">
        <v>310</v>
      </c>
      <c r="L25" s="30">
        <v>67</v>
      </c>
      <c r="M25" s="30">
        <v>5</v>
      </c>
    </row>
    <row r="26" spans="1:13" ht="57">
      <c r="A26" s="30" t="s">
        <v>67</v>
      </c>
      <c r="B26" s="30">
        <v>406</v>
      </c>
      <c r="C26" s="30" t="s">
        <v>311</v>
      </c>
      <c r="D26" s="30" t="s">
        <v>304</v>
      </c>
      <c r="H26" s="30">
        <v>3</v>
      </c>
      <c r="I26" s="30" t="s">
        <v>311</v>
      </c>
      <c r="J26" s="30" t="s">
        <v>304</v>
      </c>
      <c r="L26" s="30">
        <v>42</v>
      </c>
      <c r="M26" s="30">
        <v>5</v>
      </c>
    </row>
    <row r="27" spans="1:13" ht="28.5">
      <c r="A27" s="30" t="s">
        <v>68</v>
      </c>
      <c r="B27" s="30">
        <v>406</v>
      </c>
      <c r="C27" s="30" t="s">
        <v>69</v>
      </c>
      <c r="D27" s="30" t="s">
        <v>41</v>
      </c>
      <c r="H27" s="30">
        <v>4</v>
      </c>
      <c r="I27" s="30" t="s">
        <v>69</v>
      </c>
      <c r="J27" s="30" t="s">
        <v>41</v>
      </c>
      <c r="L27" s="30">
        <v>46</v>
      </c>
      <c r="M27" s="30">
        <v>5</v>
      </c>
    </row>
    <row r="28" spans="1:13" ht="28.5">
      <c r="A28" s="30" t="s">
        <v>70</v>
      </c>
      <c r="B28" s="30">
        <v>406</v>
      </c>
      <c r="C28" s="30" t="s">
        <v>71</v>
      </c>
      <c r="D28" s="30" t="s">
        <v>16</v>
      </c>
      <c r="H28" s="30">
        <v>3</v>
      </c>
      <c r="I28" s="30" t="s">
        <v>71</v>
      </c>
      <c r="J28" s="30" t="s">
        <v>16</v>
      </c>
      <c r="L28" s="30">
        <v>45</v>
      </c>
      <c r="M28" s="30">
        <v>4</v>
      </c>
    </row>
    <row r="29" spans="1:13" ht="28.5">
      <c r="A29" s="30" t="s">
        <v>72</v>
      </c>
      <c r="B29" s="30">
        <v>406</v>
      </c>
      <c r="C29" s="30" t="s">
        <v>73</v>
      </c>
      <c r="D29" s="30" t="s">
        <v>74</v>
      </c>
      <c r="H29" s="30">
        <v>3</v>
      </c>
      <c r="I29" s="30" t="s">
        <v>73</v>
      </c>
      <c r="J29" s="30" t="s">
        <v>74</v>
      </c>
      <c r="L29" s="30">
        <v>61</v>
      </c>
      <c r="M29" s="30">
        <v>4</v>
      </c>
    </row>
    <row r="30" spans="1:13" ht="42.75">
      <c r="A30" s="30" t="s">
        <v>75</v>
      </c>
      <c r="B30" s="30">
        <v>406</v>
      </c>
      <c r="C30" s="30" t="s">
        <v>312</v>
      </c>
      <c r="D30" s="30" t="s">
        <v>8</v>
      </c>
      <c r="H30" s="30">
        <v>5</v>
      </c>
      <c r="I30" s="30" t="s">
        <v>312</v>
      </c>
      <c r="J30" s="30" t="s">
        <v>8</v>
      </c>
      <c r="L30" s="30">
        <v>42</v>
      </c>
      <c r="M30" s="30">
        <v>5</v>
      </c>
    </row>
    <row r="31" spans="1:13" ht="28.5">
      <c r="A31" s="30" t="s">
        <v>76</v>
      </c>
      <c r="B31" s="30">
        <v>406</v>
      </c>
      <c r="C31" s="30" t="s">
        <v>77</v>
      </c>
      <c r="D31" s="30" t="s">
        <v>11</v>
      </c>
      <c r="H31" s="30">
        <v>5</v>
      </c>
      <c r="I31" s="30" t="s">
        <v>77</v>
      </c>
      <c r="J31" s="30" t="s">
        <v>11</v>
      </c>
      <c r="L31" s="30">
        <v>41</v>
      </c>
      <c r="M31" s="30">
        <v>5</v>
      </c>
    </row>
    <row r="32" spans="1:13" ht="28.5">
      <c r="A32" s="30" t="s">
        <v>78</v>
      </c>
      <c r="B32" s="30">
        <v>406</v>
      </c>
      <c r="C32" s="30" t="s">
        <v>79</v>
      </c>
      <c r="D32" s="30" t="s">
        <v>80</v>
      </c>
      <c r="H32" s="30">
        <v>4</v>
      </c>
      <c r="I32" s="30" t="s">
        <v>79</v>
      </c>
      <c r="J32" s="30" t="s">
        <v>80</v>
      </c>
      <c r="L32" s="30">
        <v>67</v>
      </c>
      <c r="M32" s="30">
        <v>4</v>
      </c>
    </row>
    <row r="33" spans="1:13" ht="42.75">
      <c r="A33" s="30" t="s">
        <v>81</v>
      </c>
      <c r="B33" s="30">
        <v>406</v>
      </c>
      <c r="C33" s="30" t="s">
        <v>82</v>
      </c>
      <c r="D33" s="30" t="s">
        <v>11</v>
      </c>
      <c r="H33" s="30">
        <v>4</v>
      </c>
      <c r="I33" s="30" t="s">
        <v>82</v>
      </c>
      <c r="J33" s="30" t="s">
        <v>11</v>
      </c>
      <c r="L33" s="30">
        <v>62</v>
      </c>
      <c r="M33" s="30">
        <v>4</v>
      </c>
    </row>
    <row r="34" spans="1:13" ht="42.75">
      <c r="A34" s="30" t="s">
        <v>83</v>
      </c>
      <c r="B34" s="30">
        <v>406</v>
      </c>
      <c r="C34" s="30" t="s">
        <v>84</v>
      </c>
      <c r="D34" s="30" t="s">
        <v>25</v>
      </c>
      <c r="E34" s="30" t="s">
        <v>26</v>
      </c>
      <c r="H34" s="30">
        <v>5</v>
      </c>
      <c r="I34" s="30" t="s">
        <v>84</v>
      </c>
      <c r="J34" s="30" t="s">
        <v>25</v>
      </c>
      <c r="L34" s="30">
        <v>49</v>
      </c>
      <c r="M34" s="30">
        <v>5</v>
      </c>
    </row>
    <row r="35" spans="1:13" ht="28.5">
      <c r="A35" s="30" t="s">
        <v>85</v>
      </c>
      <c r="B35" s="30">
        <v>406</v>
      </c>
      <c r="C35" s="30" t="s">
        <v>86</v>
      </c>
      <c r="D35" s="30" t="s">
        <v>8</v>
      </c>
      <c r="H35" s="30">
        <v>4</v>
      </c>
      <c r="I35" s="30" t="s">
        <v>86</v>
      </c>
      <c r="J35" s="30" t="s">
        <v>8</v>
      </c>
      <c r="L35" s="30">
        <v>48</v>
      </c>
      <c r="M35" s="30">
        <v>5</v>
      </c>
    </row>
    <row r="36" spans="1:13" ht="42.75">
      <c r="A36" s="30" t="s">
        <v>87</v>
      </c>
      <c r="B36" s="30">
        <v>406</v>
      </c>
      <c r="C36" s="30" t="s">
        <v>88</v>
      </c>
      <c r="D36" s="30" t="s">
        <v>89</v>
      </c>
      <c r="E36" s="30" t="s">
        <v>74</v>
      </c>
      <c r="H36" s="30">
        <v>5</v>
      </c>
      <c r="I36" s="30" t="s">
        <v>88</v>
      </c>
      <c r="J36" s="30" t="s">
        <v>89</v>
      </c>
      <c r="L36" s="30">
        <v>61</v>
      </c>
      <c r="M36" s="30">
        <v>5</v>
      </c>
    </row>
    <row r="37" spans="1:13" ht="42.75">
      <c r="A37" s="30" t="s">
        <v>90</v>
      </c>
      <c r="B37" s="30">
        <v>406</v>
      </c>
      <c r="C37" s="30" t="s">
        <v>91</v>
      </c>
      <c r="D37" s="30" t="s">
        <v>92</v>
      </c>
      <c r="H37" s="30">
        <v>5</v>
      </c>
      <c r="I37" s="30" t="s">
        <v>91</v>
      </c>
      <c r="J37" s="30" t="s">
        <v>92</v>
      </c>
      <c r="L37" s="30">
        <v>56</v>
      </c>
      <c r="M37" s="30">
        <v>5</v>
      </c>
    </row>
    <row r="38" spans="1:13" ht="71.25">
      <c r="A38" s="30" t="s">
        <v>93</v>
      </c>
      <c r="B38" s="30">
        <v>406</v>
      </c>
      <c r="C38" s="30" t="s">
        <v>94</v>
      </c>
      <c r="D38" s="30" t="s">
        <v>29</v>
      </c>
      <c r="E38" s="30" t="s">
        <v>324</v>
      </c>
      <c r="H38" s="30">
        <v>4</v>
      </c>
      <c r="I38" s="30" t="s">
        <v>94</v>
      </c>
      <c r="J38" s="30" t="s">
        <v>29</v>
      </c>
      <c r="L38" s="30">
        <v>59</v>
      </c>
      <c r="M38" s="30">
        <v>4</v>
      </c>
    </row>
    <row r="39" spans="1:13" ht="71.25">
      <c r="A39" s="30" t="s">
        <v>95</v>
      </c>
      <c r="B39" s="30">
        <v>406</v>
      </c>
      <c r="C39" s="30" t="s">
        <v>96</v>
      </c>
      <c r="D39" s="30" t="s">
        <v>59</v>
      </c>
      <c r="E39" s="30" t="s">
        <v>324</v>
      </c>
      <c r="H39" s="30">
        <v>3</v>
      </c>
      <c r="I39" s="30" t="s">
        <v>96</v>
      </c>
      <c r="J39" s="30" t="s">
        <v>59</v>
      </c>
      <c r="L39" s="30">
        <v>45</v>
      </c>
      <c r="M39" s="30">
        <v>4</v>
      </c>
    </row>
    <row r="40" spans="1:13" ht="42.75">
      <c r="A40" s="30" t="s">
        <v>97</v>
      </c>
      <c r="B40" s="30">
        <v>406</v>
      </c>
      <c r="C40" s="30" t="s">
        <v>313</v>
      </c>
      <c r="D40" s="30" t="s">
        <v>89</v>
      </c>
      <c r="E40" s="30" t="s">
        <v>29</v>
      </c>
      <c r="H40" s="30">
        <v>3</v>
      </c>
      <c r="I40" s="30" t="s">
        <v>313</v>
      </c>
      <c r="J40" s="30" t="s">
        <v>89</v>
      </c>
      <c r="L40" s="30">
        <v>40</v>
      </c>
      <c r="M40" s="30">
        <v>5</v>
      </c>
    </row>
    <row r="41" spans="1:13" ht="28.5">
      <c r="A41" s="30" t="s">
        <v>98</v>
      </c>
      <c r="B41" s="30">
        <v>406</v>
      </c>
      <c r="C41" s="30" t="s">
        <v>99</v>
      </c>
      <c r="D41" s="30" t="s">
        <v>100</v>
      </c>
      <c r="H41" s="30">
        <v>4</v>
      </c>
      <c r="I41" s="30" t="s">
        <v>99</v>
      </c>
      <c r="J41" s="30" t="s">
        <v>100</v>
      </c>
      <c r="L41" s="30">
        <v>54</v>
      </c>
      <c r="M41" s="30">
        <v>4</v>
      </c>
    </row>
    <row r="42" spans="1:13" ht="42.75">
      <c r="A42" s="30" t="s">
        <v>101</v>
      </c>
      <c r="B42" s="30">
        <v>406</v>
      </c>
      <c r="C42" s="30" t="s">
        <v>102</v>
      </c>
      <c r="D42" s="30" t="s">
        <v>100</v>
      </c>
      <c r="H42" s="30">
        <v>4</v>
      </c>
      <c r="I42" s="30" t="s">
        <v>102</v>
      </c>
      <c r="J42" s="30" t="s">
        <v>100</v>
      </c>
      <c r="L42" s="30">
        <v>55</v>
      </c>
      <c r="M42" s="30">
        <v>5</v>
      </c>
    </row>
    <row r="43" spans="1:13" ht="42.75">
      <c r="A43" s="30" t="s">
        <v>103</v>
      </c>
      <c r="B43" s="30">
        <v>406</v>
      </c>
      <c r="C43" s="30" t="s">
        <v>104</v>
      </c>
      <c r="D43" s="30" t="s">
        <v>29</v>
      </c>
      <c r="H43" s="30">
        <v>5</v>
      </c>
      <c r="I43" s="30" t="s">
        <v>104</v>
      </c>
      <c r="J43" s="30" t="s">
        <v>29</v>
      </c>
      <c r="L43" s="30">
        <v>96</v>
      </c>
      <c r="M43" s="30">
        <v>4</v>
      </c>
    </row>
    <row r="44" spans="1:13" ht="71.25">
      <c r="A44" s="30" t="s">
        <v>105</v>
      </c>
      <c r="B44" s="30">
        <v>406</v>
      </c>
      <c r="C44" s="30" t="s">
        <v>314</v>
      </c>
      <c r="D44" s="30" t="s">
        <v>89</v>
      </c>
      <c r="E44" s="30" t="s">
        <v>106</v>
      </c>
      <c r="H44" s="30">
        <v>4</v>
      </c>
      <c r="I44" s="30" t="s">
        <v>314</v>
      </c>
      <c r="J44" s="30" t="s">
        <v>89</v>
      </c>
      <c r="L44" s="30">
        <v>72</v>
      </c>
      <c r="M44" s="30">
        <v>5</v>
      </c>
    </row>
    <row r="45" spans="1:13" ht="28.5">
      <c r="A45" s="30" t="s">
        <v>107</v>
      </c>
      <c r="B45" s="30">
        <v>406</v>
      </c>
      <c r="C45" s="30" t="s">
        <v>108</v>
      </c>
      <c r="D45" s="30" t="s">
        <v>100</v>
      </c>
      <c r="H45" s="30">
        <v>3</v>
      </c>
      <c r="I45" s="30" t="s">
        <v>108</v>
      </c>
      <c r="J45" s="30" t="s">
        <v>100</v>
      </c>
      <c r="L45" s="30">
        <v>68</v>
      </c>
      <c r="M45" s="30">
        <v>5</v>
      </c>
    </row>
    <row r="46" spans="1:13" ht="71.25">
      <c r="A46" s="30" t="s">
        <v>109</v>
      </c>
      <c r="B46" s="30">
        <v>406</v>
      </c>
      <c r="C46" s="30" t="s">
        <v>110</v>
      </c>
      <c r="D46" s="30" t="s">
        <v>8</v>
      </c>
      <c r="E46" s="30" t="s">
        <v>324</v>
      </c>
      <c r="H46" s="30">
        <v>4</v>
      </c>
      <c r="I46" s="30" t="s">
        <v>110</v>
      </c>
      <c r="J46" s="30" t="s">
        <v>8</v>
      </c>
      <c r="L46" s="30">
        <v>43</v>
      </c>
      <c r="M46" s="30">
        <v>5</v>
      </c>
    </row>
    <row r="47" spans="1:13" ht="28.5">
      <c r="A47" s="30" t="s">
        <v>111</v>
      </c>
      <c r="B47" s="30">
        <v>406</v>
      </c>
      <c r="C47" s="30" t="s">
        <v>112</v>
      </c>
      <c r="D47" s="30" t="s">
        <v>16</v>
      </c>
      <c r="H47" s="30">
        <v>5</v>
      </c>
      <c r="I47" s="30" t="s">
        <v>112</v>
      </c>
      <c r="J47" s="30" t="s">
        <v>16</v>
      </c>
      <c r="L47" s="30">
        <v>55</v>
      </c>
      <c r="M47" s="30">
        <v>4</v>
      </c>
    </row>
    <row r="48" spans="1:13" ht="28.5">
      <c r="A48" s="30" t="s">
        <v>113</v>
      </c>
      <c r="B48" s="30">
        <v>406</v>
      </c>
      <c r="C48" s="30" t="s">
        <v>114</v>
      </c>
      <c r="D48" s="30" t="s">
        <v>16</v>
      </c>
      <c r="H48" s="30">
        <v>4</v>
      </c>
      <c r="I48" s="30" t="s">
        <v>114</v>
      </c>
      <c r="J48" s="30" t="s">
        <v>16</v>
      </c>
      <c r="L48" s="30">
        <v>57</v>
      </c>
      <c r="M48" s="30">
        <v>5</v>
      </c>
    </row>
    <row r="49" spans="1:13" ht="28.5">
      <c r="A49" s="30" t="s">
        <v>115</v>
      </c>
      <c r="B49" s="30">
        <v>406</v>
      </c>
      <c r="C49" s="30" t="s">
        <v>116</v>
      </c>
      <c r="D49" s="30" t="s">
        <v>41</v>
      </c>
      <c r="H49" s="30">
        <v>5</v>
      </c>
      <c r="I49" s="30" t="s">
        <v>116</v>
      </c>
      <c r="J49" s="30" t="s">
        <v>41</v>
      </c>
      <c r="L49" s="30">
        <v>46</v>
      </c>
      <c r="M49" s="30">
        <v>5</v>
      </c>
    </row>
    <row r="50" spans="1:13" ht="28.5">
      <c r="A50" s="30" t="s">
        <v>117</v>
      </c>
      <c r="B50" s="30">
        <v>407</v>
      </c>
      <c r="C50" s="30" t="s">
        <v>118</v>
      </c>
      <c r="D50" s="30" t="s">
        <v>8</v>
      </c>
      <c r="H50" s="30">
        <v>5</v>
      </c>
      <c r="I50" s="30" t="s">
        <v>118</v>
      </c>
      <c r="J50" s="30" t="s">
        <v>8</v>
      </c>
      <c r="L50" s="30">
        <v>34</v>
      </c>
      <c r="M50" s="30">
        <v>5</v>
      </c>
    </row>
    <row r="51" spans="1:13" ht="28.5">
      <c r="A51" s="30" t="s">
        <v>119</v>
      </c>
      <c r="B51" s="30">
        <v>407</v>
      </c>
      <c r="C51" s="30" t="s">
        <v>120</v>
      </c>
      <c r="D51" s="30" t="s">
        <v>121</v>
      </c>
      <c r="H51" s="30">
        <v>4</v>
      </c>
      <c r="I51" s="30" t="s">
        <v>120</v>
      </c>
      <c r="J51" s="30" t="s">
        <v>121</v>
      </c>
      <c r="L51" s="30">
        <v>56</v>
      </c>
      <c r="M51" s="30">
        <v>5</v>
      </c>
    </row>
    <row r="52" spans="1:13" ht="28.5">
      <c r="A52" s="30" t="s">
        <v>122</v>
      </c>
      <c r="B52" s="30">
        <v>407</v>
      </c>
      <c r="C52" s="30" t="s">
        <v>123</v>
      </c>
      <c r="D52" s="30" t="s">
        <v>121</v>
      </c>
      <c r="H52" s="30">
        <v>5</v>
      </c>
      <c r="I52" s="30" t="s">
        <v>123</v>
      </c>
      <c r="J52" s="30" t="s">
        <v>121</v>
      </c>
      <c r="L52" s="30">
        <v>45</v>
      </c>
      <c r="M52" s="30">
        <v>5</v>
      </c>
    </row>
    <row r="53" spans="1:13" ht="42.75">
      <c r="A53" s="30" t="s">
        <v>124</v>
      </c>
      <c r="B53" s="30">
        <v>407</v>
      </c>
      <c r="C53" s="30" t="s">
        <v>125</v>
      </c>
      <c r="D53" s="30" t="s">
        <v>38</v>
      </c>
      <c r="H53" s="30" t="e">
        <v>#N/A</v>
      </c>
      <c r="I53" s="30" t="s">
        <v>125</v>
      </c>
      <c r="J53" s="30" t="s">
        <v>38</v>
      </c>
      <c r="L53" s="30">
        <v>48</v>
      </c>
      <c r="M53" s="30">
        <v>5</v>
      </c>
    </row>
    <row r="54" spans="1:13" ht="28.5">
      <c r="A54" s="30" t="s">
        <v>126</v>
      </c>
      <c r="B54" s="30">
        <v>407</v>
      </c>
      <c r="C54" s="30" t="s">
        <v>326</v>
      </c>
      <c r="D54" s="30" t="s">
        <v>100</v>
      </c>
      <c r="H54" s="30">
        <v>4</v>
      </c>
      <c r="I54" s="30" t="s">
        <v>326</v>
      </c>
      <c r="J54" s="30" t="s">
        <v>100</v>
      </c>
      <c r="L54" s="30">
        <v>55</v>
      </c>
      <c r="M54" s="30">
        <v>4</v>
      </c>
    </row>
    <row r="55" spans="1:13" ht="42.75">
      <c r="A55" s="30" t="s">
        <v>127</v>
      </c>
      <c r="B55" s="30">
        <v>407</v>
      </c>
      <c r="C55" s="30" t="s">
        <v>128</v>
      </c>
      <c r="D55" s="30" t="s">
        <v>38</v>
      </c>
      <c r="H55" s="30">
        <v>5</v>
      </c>
      <c r="I55" s="30" t="s">
        <v>128</v>
      </c>
      <c r="J55" s="30" t="s">
        <v>38</v>
      </c>
      <c r="L55" s="30">
        <v>53</v>
      </c>
      <c r="M55" s="30">
        <v>5</v>
      </c>
    </row>
    <row r="56" spans="1:13" ht="42.75">
      <c r="A56" s="30" t="s">
        <v>129</v>
      </c>
      <c r="B56" s="30">
        <v>407</v>
      </c>
      <c r="C56" s="30" t="s">
        <v>130</v>
      </c>
      <c r="D56" s="30" t="s">
        <v>29</v>
      </c>
      <c r="H56" s="30">
        <v>5</v>
      </c>
      <c r="I56" s="30" t="s">
        <v>130</v>
      </c>
      <c r="J56" s="30" t="s">
        <v>29</v>
      </c>
      <c r="L56" s="30">
        <v>47</v>
      </c>
      <c r="M56" s="30">
        <v>5</v>
      </c>
    </row>
    <row r="57" spans="1:13" ht="28.5">
      <c r="A57" s="30" t="s">
        <v>131</v>
      </c>
      <c r="B57" s="30">
        <v>407</v>
      </c>
      <c r="C57" s="30" t="s">
        <v>132</v>
      </c>
      <c r="D57" s="30" t="s">
        <v>41</v>
      </c>
      <c r="H57" s="30">
        <v>5</v>
      </c>
      <c r="I57" s="30" t="s">
        <v>132</v>
      </c>
      <c r="J57" s="30" t="s">
        <v>41</v>
      </c>
      <c r="L57" s="30">
        <v>41</v>
      </c>
      <c r="M57" s="30">
        <v>4</v>
      </c>
    </row>
    <row r="58" spans="1:13" ht="42.75">
      <c r="A58" s="30" t="s">
        <v>133</v>
      </c>
      <c r="B58" s="30">
        <v>407</v>
      </c>
      <c r="C58" s="30" t="s">
        <v>134</v>
      </c>
      <c r="D58" s="30" t="s">
        <v>46</v>
      </c>
      <c r="H58" s="30">
        <v>5</v>
      </c>
      <c r="I58" s="30" t="s">
        <v>134</v>
      </c>
      <c r="J58" s="30" t="s">
        <v>46</v>
      </c>
      <c r="L58" s="30">
        <v>42</v>
      </c>
      <c r="M58" s="30">
        <v>4</v>
      </c>
    </row>
    <row r="59" spans="1:13" ht="28.5">
      <c r="A59" s="30" t="s">
        <v>135</v>
      </c>
      <c r="B59" s="30">
        <v>407</v>
      </c>
      <c r="C59" s="30" t="s">
        <v>136</v>
      </c>
      <c r="D59" s="30" t="s">
        <v>137</v>
      </c>
      <c r="H59" s="30">
        <v>3</v>
      </c>
      <c r="I59" s="30" t="s">
        <v>136</v>
      </c>
      <c r="J59" s="30" t="s">
        <v>137</v>
      </c>
      <c r="L59" s="30">
        <v>47</v>
      </c>
      <c r="M59" s="30">
        <v>5</v>
      </c>
    </row>
    <row r="60" spans="1:13" ht="28.5">
      <c r="A60" s="30" t="s">
        <v>138</v>
      </c>
      <c r="B60" s="30">
        <v>407</v>
      </c>
      <c r="C60" s="30" t="s">
        <v>139</v>
      </c>
      <c r="D60" s="30" t="s">
        <v>106</v>
      </c>
      <c r="H60" s="30">
        <v>5</v>
      </c>
      <c r="I60" s="30" t="s">
        <v>139</v>
      </c>
      <c r="J60" s="30" t="s">
        <v>106</v>
      </c>
      <c r="L60" s="30">
        <v>40</v>
      </c>
      <c r="M60" s="30">
        <v>5</v>
      </c>
    </row>
    <row r="61" spans="1:13" ht="28.5">
      <c r="A61" s="30" t="s">
        <v>140</v>
      </c>
      <c r="B61" s="30">
        <v>407</v>
      </c>
      <c r="C61" s="30" t="s">
        <v>141</v>
      </c>
      <c r="D61" s="30" t="s">
        <v>41</v>
      </c>
      <c r="H61" s="30">
        <v>4</v>
      </c>
      <c r="I61" s="30" t="s">
        <v>141</v>
      </c>
      <c r="J61" s="30" t="s">
        <v>41</v>
      </c>
      <c r="L61" s="30">
        <v>40</v>
      </c>
      <c r="M61" s="30">
        <v>5</v>
      </c>
    </row>
    <row r="62" spans="1:13" ht="42.75">
      <c r="A62" s="30" t="s">
        <v>142</v>
      </c>
      <c r="B62" s="30">
        <v>407</v>
      </c>
      <c r="C62" s="30" t="s">
        <v>315</v>
      </c>
      <c r="D62" s="30" t="s">
        <v>41</v>
      </c>
      <c r="E62" s="30" t="s">
        <v>143</v>
      </c>
      <c r="H62" s="30">
        <v>3</v>
      </c>
      <c r="I62" s="30" t="s">
        <v>315</v>
      </c>
      <c r="J62" s="30" t="s">
        <v>41</v>
      </c>
      <c r="L62" s="30">
        <v>52</v>
      </c>
      <c r="M62" s="30">
        <v>4</v>
      </c>
    </row>
    <row r="63" spans="1:13" ht="42.75">
      <c r="A63" s="30" t="s">
        <v>144</v>
      </c>
      <c r="B63" s="30">
        <v>407</v>
      </c>
      <c r="C63" s="30" t="s">
        <v>145</v>
      </c>
      <c r="D63" s="30" t="s">
        <v>146</v>
      </c>
      <c r="H63" s="30">
        <v>5</v>
      </c>
      <c r="I63" s="30" t="s">
        <v>145</v>
      </c>
      <c r="J63" s="30" t="s">
        <v>146</v>
      </c>
      <c r="L63" s="30">
        <v>43</v>
      </c>
      <c r="M63" s="30">
        <v>5</v>
      </c>
    </row>
    <row r="64" spans="1:13" ht="42.75">
      <c r="A64" s="30" t="s">
        <v>147</v>
      </c>
      <c r="B64" s="30">
        <v>407</v>
      </c>
      <c r="C64" s="30" t="s">
        <v>148</v>
      </c>
      <c r="D64" s="30" t="s">
        <v>146</v>
      </c>
      <c r="H64" s="30">
        <v>4</v>
      </c>
      <c r="I64" s="30" t="s">
        <v>148</v>
      </c>
      <c r="J64" s="30" t="s">
        <v>146</v>
      </c>
      <c r="L64" s="30">
        <v>45</v>
      </c>
      <c r="M64" s="30">
        <v>5</v>
      </c>
    </row>
    <row r="65" spans="1:13" ht="42.75">
      <c r="A65" s="30" t="s">
        <v>149</v>
      </c>
      <c r="B65" s="30">
        <v>407</v>
      </c>
      <c r="C65" s="30" t="s">
        <v>150</v>
      </c>
      <c r="D65" s="30" t="s">
        <v>151</v>
      </c>
      <c r="E65" s="30" t="s">
        <v>29</v>
      </c>
      <c r="H65" s="30">
        <v>5</v>
      </c>
      <c r="I65" s="30" t="s">
        <v>150</v>
      </c>
      <c r="J65" s="30" t="s">
        <v>151</v>
      </c>
      <c r="L65" s="30">
        <v>40</v>
      </c>
      <c r="M65" s="30">
        <v>4</v>
      </c>
    </row>
    <row r="66" spans="1:13" ht="28.5">
      <c r="A66" s="30" t="s">
        <v>152</v>
      </c>
      <c r="B66" s="30">
        <v>407</v>
      </c>
      <c r="C66" s="30" t="s">
        <v>153</v>
      </c>
      <c r="D66" s="30" t="s">
        <v>16</v>
      </c>
      <c r="H66" s="30">
        <v>3</v>
      </c>
      <c r="I66" s="30" t="s">
        <v>153</v>
      </c>
      <c r="J66" s="30" t="s">
        <v>16</v>
      </c>
      <c r="L66" s="30">
        <v>46</v>
      </c>
      <c r="M66" s="30">
        <v>4</v>
      </c>
    </row>
    <row r="67" spans="1:13" ht="42.75">
      <c r="A67" s="30" t="s">
        <v>154</v>
      </c>
      <c r="B67" s="30">
        <v>407</v>
      </c>
      <c r="C67" s="30" t="s">
        <v>155</v>
      </c>
      <c r="D67" s="30" t="s">
        <v>146</v>
      </c>
      <c r="H67" s="30">
        <v>5</v>
      </c>
      <c r="I67" s="30" t="s">
        <v>155</v>
      </c>
      <c r="J67" s="30" t="s">
        <v>146</v>
      </c>
      <c r="L67" s="30">
        <v>49</v>
      </c>
      <c r="M67" s="30">
        <v>5</v>
      </c>
    </row>
    <row r="68" spans="1:13" ht="42.75">
      <c r="A68" s="30" t="s">
        <v>156</v>
      </c>
      <c r="B68" s="30">
        <v>407</v>
      </c>
      <c r="C68" s="30" t="s">
        <v>157</v>
      </c>
      <c r="D68" s="30" t="s">
        <v>151</v>
      </c>
      <c r="E68" s="30" t="s">
        <v>29</v>
      </c>
      <c r="H68" s="30">
        <v>4</v>
      </c>
      <c r="I68" s="30" t="s">
        <v>157</v>
      </c>
      <c r="J68" s="30" t="s">
        <v>151</v>
      </c>
      <c r="L68" s="30">
        <v>42</v>
      </c>
      <c r="M68" s="30">
        <v>5</v>
      </c>
    </row>
    <row r="69" spans="1:13" ht="42.75">
      <c r="A69" s="30" t="s">
        <v>158</v>
      </c>
      <c r="B69" s="30">
        <v>407</v>
      </c>
      <c r="C69" s="30" t="s">
        <v>159</v>
      </c>
      <c r="D69" s="30" t="s">
        <v>100</v>
      </c>
      <c r="H69" s="30">
        <v>4</v>
      </c>
      <c r="I69" s="30" t="s">
        <v>159</v>
      </c>
      <c r="J69" s="30" t="s">
        <v>100</v>
      </c>
      <c r="L69" s="30">
        <v>52</v>
      </c>
      <c r="M69" s="30">
        <v>4</v>
      </c>
    </row>
    <row r="70" spans="1:13" ht="28.5">
      <c r="A70" s="30" t="s">
        <v>160</v>
      </c>
      <c r="B70" s="30">
        <v>407</v>
      </c>
      <c r="C70" s="30" t="s">
        <v>161</v>
      </c>
      <c r="D70" s="30" t="s">
        <v>11</v>
      </c>
      <c r="H70" s="30">
        <v>5</v>
      </c>
      <c r="I70" s="30" t="s">
        <v>161</v>
      </c>
      <c r="J70" s="30" t="s">
        <v>11</v>
      </c>
      <c r="L70" s="30">
        <v>57</v>
      </c>
      <c r="M70" s="30">
        <v>5</v>
      </c>
    </row>
    <row r="71" spans="1:13" ht="28.5">
      <c r="A71" s="30" t="s">
        <v>162</v>
      </c>
      <c r="B71" s="30">
        <v>407</v>
      </c>
      <c r="C71" s="30" t="s">
        <v>163</v>
      </c>
      <c r="D71" s="30" t="s">
        <v>164</v>
      </c>
      <c r="H71" s="30">
        <v>5</v>
      </c>
      <c r="I71" s="30" t="s">
        <v>163</v>
      </c>
      <c r="J71" s="30" t="s">
        <v>164</v>
      </c>
      <c r="L71" s="30">
        <v>51</v>
      </c>
      <c r="M71" s="30">
        <v>5</v>
      </c>
    </row>
    <row r="72" spans="1:13" ht="28.5">
      <c r="A72" s="30" t="s">
        <v>165</v>
      </c>
      <c r="B72" s="30">
        <v>407</v>
      </c>
      <c r="C72" s="30" t="s">
        <v>166</v>
      </c>
      <c r="D72" s="30" t="s">
        <v>8</v>
      </c>
      <c r="H72" s="30">
        <v>5</v>
      </c>
      <c r="I72" s="30" t="s">
        <v>166</v>
      </c>
      <c r="J72" s="30" t="s">
        <v>8</v>
      </c>
      <c r="L72" s="30">
        <v>44</v>
      </c>
      <c r="M72" s="30">
        <v>5</v>
      </c>
    </row>
    <row r="73" spans="1:13" ht="42.75">
      <c r="A73" s="30" t="s">
        <v>167</v>
      </c>
      <c r="B73" s="30">
        <v>407</v>
      </c>
      <c r="C73" s="30" t="s">
        <v>168</v>
      </c>
      <c r="D73" s="30" t="s">
        <v>11</v>
      </c>
      <c r="H73" s="30">
        <v>4</v>
      </c>
      <c r="I73" s="30" t="s">
        <v>168</v>
      </c>
      <c r="J73" s="30" t="s">
        <v>11</v>
      </c>
      <c r="L73" s="30">
        <v>53</v>
      </c>
      <c r="M73" s="30">
        <v>5</v>
      </c>
    </row>
    <row r="74" spans="1:13" ht="28.5">
      <c r="A74" s="30" t="s">
        <v>169</v>
      </c>
      <c r="B74" s="30">
        <v>407</v>
      </c>
      <c r="C74" s="30" t="s">
        <v>170</v>
      </c>
      <c r="D74" s="30" t="s">
        <v>8</v>
      </c>
      <c r="H74" s="30">
        <v>5</v>
      </c>
      <c r="I74" s="30" t="s">
        <v>170</v>
      </c>
      <c r="J74" s="30" t="s">
        <v>8</v>
      </c>
      <c r="L74" s="30">
        <v>50</v>
      </c>
      <c r="M74" s="30">
        <v>5</v>
      </c>
    </row>
    <row r="75" spans="1:13" ht="28.5">
      <c r="A75" s="30" t="s">
        <v>171</v>
      </c>
      <c r="B75" s="30">
        <v>408</v>
      </c>
      <c r="C75" s="30" t="s">
        <v>172</v>
      </c>
      <c r="D75" s="30" t="s">
        <v>151</v>
      </c>
      <c r="E75" s="30" t="s">
        <v>41</v>
      </c>
      <c r="H75" s="30">
        <v>5</v>
      </c>
      <c r="I75" s="30" t="s">
        <v>172</v>
      </c>
      <c r="J75" s="30" t="s">
        <v>151</v>
      </c>
      <c r="L75" s="30">
        <v>44</v>
      </c>
      <c r="M75" s="30">
        <v>5</v>
      </c>
    </row>
    <row r="76" spans="1:13" ht="42.75">
      <c r="A76" s="30" t="s">
        <v>173</v>
      </c>
      <c r="B76" s="30">
        <v>408</v>
      </c>
      <c r="C76" s="30" t="s">
        <v>174</v>
      </c>
      <c r="D76" s="30" t="s">
        <v>100</v>
      </c>
      <c r="H76" s="30">
        <v>4</v>
      </c>
      <c r="I76" s="30" t="s">
        <v>174</v>
      </c>
      <c r="J76" s="30" t="s">
        <v>100</v>
      </c>
      <c r="L76" s="30">
        <v>40</v>
      </c>
      <c r="M76" s="30">
        <v>5</v>
      </c>
    </row>
    <row r="77" spans="1:13" ht="42.75">
      <c r="A77" s="30" t="s">
        <v>175</v>
      </c>
      <c r="B77" s="30">
        <v>408</v>
      </c>
      <c r="C77" s="30" t="s">
        <v>176</v>
      </c>
      <c r="D77" s="30" t="s">
        <v>177</v>
      </c>
      <c r="E77" s="30" t="s">
        <v>92</v>
      </c>
      <c r="H77" s="30">
        <v>5</v>
      </c>
      <c r="I77" s="30" t="s">
        <v>176</v>
      </c>
      <c r="J77" s="30" t="s">
        <v>177</v>
      </c>
      <c r="L77" s="30">
        <v>50</v>
      </c>
      <c r="M77" s="30">
        <v>5</v>
      </c>
    </row>
    <row r="78" spans="1:13" ht="42.75">
      <c r="A78" s="30" t="s">
        <v>178</v>
      </c>
      <c r="B78" s="30">
        <v>408</v>
      </c>
      <c r="C78" s="30" t="s">
        <v>179</v>
      </c>
      <c r="D78" s="30" t="s">
        <v>306</v>
      </c>
      <c r="H78" s="30">
        <v>4</v>
      </c>
      <c r="I78" s="30" t="s">
        <v>179</v>
      </c>
      <c r="J78" s="30" t="s">
        <v>306</v>
      </c>
      <c r="L78" s="30">
        <v>51</v>
      </c>
      <c r="M78" s="30">
        <v>5</v>
      </c>
    </row>
    <row r="79" spans="1:13" ht="42.75">
      <c r="A79" s="30" t="s">
        <v>180</v>
      </c>
      <c r="B79" s="30">
        <v>408</v>
      </c>
      <c r="C79" s="30" t="s">
        <v>181</v>
      </c>
      <c r="D79" s="30" t="s">
        <v>177</v>
      </c>
      <c r="E79" s="30" t="s">
        <v>92</v>
      </c>
      <c r="H79" s="30">
        <v>5</v>
      </c>
      <c r="I79" s="30" t="s">
        <v>181</v>
      </c>
      <c r="J79" s="30" t="s">
        <v>177</v>
      </c>
      <c r="L79" s="30">
        <v>78</v>
      </c>
      <c r="M79" s="30">
        <v>5</v>
      </c>
    </row>
    <row r="80" spans="1:13" ht="28.5">
      <c r="A80" s="30" t="s">
        <v>182</v>
      </c>
      <c r="B80" s="30">
        <v>408</v>
      </c>
      <c r="C80" s="30" t="s">
        <v>183</v>
      </c>
      <c r="D80" s="30" t="s">
        <v>100</v>
      </c>
      <c r="H80" s="30">
        <v>4</v>
      </c>
      <c r="I80" s="30" t="s">
        <v>183</v>
      </c>
      <c r="J80" s="30" t="s">
        <v>100</v>
      </c>
      <c r="L80" s="30">
        <v>41</v>
      </c>
      <c r="M80" s="30">
        <v>4</v>
      </c>
    </row>
    <row r="81" spans="1:13" ht="42.75">
      <c r="A81" s="30" t="s">
        <v>184</v>
      </c>
      <c r="B81" s="30">
        <v>408</v>
      </c>
      <c r="C81" s="30" t="s">
        <v>185</v>
      </c>
      <c r="D81" s="30" t="s">
        <v>38</v>
      </c>
      <c r="H81" s="30">
        <v>5</v>
      </c>
      <c r="I81" s="30" t="s">
        <v>185</v>
      </c>
      <c r="J81" s="30" t="s">
        <v>316</v>
      </c>
      <c r="L81" s="30">
        <v>62</v>
      </c>
      <c r="M81" s="30">
        <v>5</v>
      </c>
    </row>
    <row r="82" spans="1:13" ht="28.5">
      <c r="A82" s="30" t="s">
        <v>186</v>
      </c>
      <c r="B82" s="30">
        <v>408</v>
      </c>
      <c r="C82" s="30" t="s">
        <v>187</v>
      </c>
      <c r="D82" s="30" t="s">
        <v>188</v>
      </c>
      <c r="H82" s="30">
        <v>3</v>
      </c>
      <c r="I82" s="30" t="s">
        <v>187</v>
      </c>
      <c r="J82" s="30" t="s">
        <v>188</v>
      </c>
      <c r="L82" s="30">
        <v>53</v>
      </c>
      <c r="M82" s="30">
        <v>4</v>
      </c>
    </row>
    <row r="83" spans="1:13" ht="42.75">
      <c r="A83" s="30" t="s">
        <v>189</v>
      </c>
      <c r="B83" s="30">
        <v>408</v>
      </c>
      <c r="C83" s="30" t="s">
        <v>190</v>
      </c>
      <c r="D83" s="30" t="s">
        <v>164</v>
      </c>
      <c r="H83" s="30">
        <v>4</v>
      </c>
      <c r="I83" s="30" t="s">
        <v>190</v>
      </c>
      <c r="J83" s="30" t="s">
        <v>164</v>
      </c>
      <c r="L83" s="30">
        <v>58</v>
      </c>
      <c r="M83" s="30">
        <v>5</v>
      </c>
    </row>
    <row r="84" spans="1:13" ht="28.5">
      <c r="A84" s="30" t="s">
        <v>191</v>
      </c>
      <c r="B84" s="30">
        <v>408</v>
      </c>
      <c r="C84" s="30" t="s">
        <v>192</v>
      </c>
      <c r="D84" s="30" t="s">
        <v>100</v>
      </c>
      <c r="H84" s="30">
        <v>5</v>
      </c>
      <c r="I84" s="30" t="s">
        <v>192</v>
      </c>
      <c r="J84" s="30" t="s">
        <v>100</v>
      </c>
      <c r="L84" s="30">
        <v>51</v>
      </c>
      <c r="M84" s="30">
        <v>5</v>
      </c>
    </row>
    <row r="85" spans="1:13" ht="28.5">
      <c r="A85" s="30" t="s">
        <v>193</v>
      </c>
      <c r="B85" s="30">
        <v>408</v>
      </c>
      <c r="C85" s="30" t="s">
        <v>194</v>
      </c>
      <c r="D85" s="30" t="s">
        <v>100</v>
      </c>
      <c r="H85" s="30">
        <v>5</v>
      </c>
      <c r="I85" s="30" t="s">
        <v>194</v>
      </c>
      <c r="J85" s="30" t="s">
        <v>100</v>
      </c>
      <c r="L85" s="30">
        <v>46</v>
      </c>
      <c r="M85" s="30">
        <v>5</v>
      </c>
    </row>
    <row r="86" spans="1:13" ht="28.5">
      <c r="A86" s="30" t="s">
        <v>195</v>
      </c>
      <c r="B86" s="30">
        <v>408</v>
      </c>
      <c r="C86" s="30" t="s">
        <v>196</v>
      </c>
      <c r="D86" s="30" t="s">
        <v>41</v>
      </c>
      <c r="H86" s="30" t="e">
        <v>#N/A</v>
      </c>
      <c r="I86" s="30" t="s">
        <v>196</v>
      </c>
      <c r="J86" s="30" t="s">
        <v>41</v>
      </c>
      <c r="L86" s="30">
        <v>49</v>
      </c>
      <c r="M86" s="30">
        <v>5</v>
      </c>
    </row>
    <row r="87" spans="1:13" ht="42.75">
      <c r="A87" s="30" t="s">
        <v>197</v>
      </c>
      <c r="B87" s="30">
        <v>408</v>
      </c>
      <c r="C87" s="30" t="s">
        <v>198</v>
      </c>
      <c r="D87" s="30" t="s">
        <v>46</v>
      </c>
      <c r="H87" s="30">
        <v>5</v>
      </c>
      <c r="I87" s="30" t="s">
        <v>198</v>
      </c>
      <c r="J87" s="30" t="s">
        <v>46</v>
      </c>
      <c r="L87" s="30">
        <v>43</v>
      </c>
      <c r="M87" s="30">
        <v>5</v>
      </c>
    </row>
    <row r="88" spans="1:13" ht="42.75">
      <c r="A88" s="30" t="s">
        <v>199</v>
      </c>
      <c r="B88" s="30">
        <v>408</v>
      </c>
      <c r="C88" s="30" t="s">
        <v>200</v>
      </c>
      <c r="D88" s="30" t="s">
        <v>201</v>
      </c>
      <c r="H88" s="30">
        <v>5</v>
      </c>
      <c r="I88" s="30" t="s">
        <v>200</v>
      </c>
      <c r="J88" s="30" t="s">
        <v>201</v>
      </c>
      <c r="L88" s="30">
        <v>47</v>
      </c>
      <c r="M88" s="30">
        <v>5</v>
      </c>
    </row>
    <row r="89" spans="1:13" ht="28.5">
      <c r="A89" s="30" t="s">
        <v>202</v>
      </c>
      <c r="B89" s="30">
        <v>408</v>
      </c>
      <c r="C89" s="30" t="s">
        <v>203</v>
      </c>
      <c r="D89" s="30" t="s">
        <v>41</v>
      </c>
      <c r="H89" s="30" t="e">
        <v>#N/A</v>
      </c>
      <c r="I89" s="30" t="s">
        <v>203</v>
      </c>
      <c r="J89" s="30" t="s">
        <v>41</v>
      </c>
      <c r="L89" s="30">
        <v>68</v>
      </c>
      <c r="M89" s="30">
        <v>5</v>
      </c>
    </row>
    <row r="90" spans="1:13" ht="28.5">
      <c r="A90" s="30" t="s">
        <v>204</v>
      </c>
      <c r="B90" s="30">
        <v>408</v>
      </c>
      <c r="C90" s="30" t="s">
        <v>205</v>
      </c>
      <c r="D90" s="30" t="s">
        <v>41</v>
      </c>
      <c r="H90" s="30">
        <v>5</v>
      </c>
      <c r="I90" s="30" t="s">
        <v>205</v>
      </c>
      <c r="J90" s="30" t="s">
        <v>41</v>
      </c>
      <c r="L90" s="30">
        <v>47</v>
      </c>
      <c r="M90" s="30">
        <v>5</v>
      </c>
    </row>
    <row r="91" spans="1:13" ht="28.5">
      <c r="A91" s="30" t="s">
        <v>206</v>
      </c>
      <c r="B91" s="30">
        <v>408</v>
      </c>
      <c r="C91" s="30" t="s">
        <v>207</v>
      </c>
      <c r="D91" s="30" t="s">
        <v>208</v>
      </c>
      <c r="H91" s="30" t="e">
        <v>#N/A</v>
      </c>
      <c r="I91" s="30" t="s">
        <v>207</v>
      </c>
      <c r="J91" s="30" t="s">
        <v>208</v>
      </c>
      <c r="L91" s="30">
        <v>41</v>
      </c>
      <c r="M91" s="30">
        <v>5</v>
      </c>
    </row>
    <row r="92" spans="1:13" ht="99.75">
      <c r="A92" s="30" t="s">
        <v>209</v>
      </c>
      <c r="B92" s="30">
        <v>408</v>
      </c>
      <c r="C92" s="30" t="s">
        <v>327</v>
      </c>
      <c r="D92" s="30" t="s">
        <v>26</v>
      </c>
      <c r="G92" s="30" t="s">
        <v>596</v>
      </c>
      <c r="H92" s="30" t="e">
        <v>#N/A</v>
      </c>
      <c r="I92" s="30" t="s">
        <v>327</v>
      </c>
      <c r="J92" s="30" t="s">
        <v>26</v>
      </c>
      <c r="K92" s="30" t="s">
        <v>599</v>
      </c>
      <c r="M92" s="30" t="e">
        <v>#N/A</v>
      </c>
    </row>
    <row r="93" spans="1:13" ht="28.5">
      <c r="A93" s="30" t="s">
        <v>210</v>
      </c>
      <c r="B93" s="30">
        <v>408</v>
      </c>
      <c r="C93" s="30" t="s">
        <v>211</v>
      </c>
      <c r="D93" s="30" t="s">
        <v>100</v>
      </c>
      <c r="H93" s="30">
        <v>5</v>
      </c>
      <c r="I93" s="30" t="s">
        <v>211</v>
      </c>
      <c r="J93" s="30" t="s">
        <v>100</v>
      </c>
      <c r="L93" s="30">
        <v>45</v>
      </c>
      <c r="M93" s="30">
        <v>5</v>
      </c>
    </row>
    <row r="94" spans="1:13" ht="28.5">
      <c r="A94" s="30" t="s">
        <v>212</v>
      </c>
      <c r="B94" s="30">
        <v>408</v>
      </c>
      <c r="C94" s="30" t="s">
        <v>213</v>
      </c>
      <c r="D94" s="30" t="s">
        <v>41</v>
      </c>
      <c r="H94" s="30" t="e">
        <v>#N/A</v>
      </c>
      <c r="I94" s="30" t="s">
        <v>213</v>
      </c>
      <c r="J94" s="30" t="s">
        <v>41</v>
      </c>
      <c r="L94" s="30">
        <v>46</v>
      </c>
      <c r="M94" s="30">
        <v>5</v>
      </c>
    </row>
    <row r="95" spans="1:13" ht="42.75">
      <c r="A95" s="30" t="s">
        <v>214</v>
      </c>
      <c r="B95" s="30">
        <v>408</v>
      </c>
      <c r="C95" s="30" t="s">
        <v>215</v>
      </c>
      <c r="D95" s="30" t="s">
        <v>146</v>
      </c>
      <c r="H95" s="30">
        <v>5</v>
      </c>
      <c r="I95" s="30" t="s">
        <v>215</v>
      </c>
      <c r="J95" s="30" t="s">
        <v>146</v>
      </c>
      <c r="L95" s="30">
        <v>40</v>
      </c>
      <c r="M95" s="30">
        <v>5</v>
      </c>
    </row>
    <row r="96" spans="1:13" ht="28.5">
      <c r="A96" s="30" t="s">
        <v>216</v>
      </c>
      <c r="B96" s="30">
        <v>408</v>
      </c>
      <c r="C96" s="30" t="s">
        <v>217</v>
      </c>
      <c r="D96" s="30" t="s">
        <v>16</v>
      </c>
      <c r="H96" s="30">
        <v>5</v>
      </c>
      <c r="I96" s="30" t="s">
        <v>217</v>
      </c>
      <c r="J96" s="30" t="s">
        <v>16</v>
      </c>
      <c r="L96" s="30">
        <v>49</v>
      </c>
      <c r="M96" s="30">
        <v>5</v>
      </c>
    </row>
    <row r="97" spans="1:13" ht="28.5">
      <c r="A97" s="30" t="s">
        <v>218</v>
      </c>
      <c r="B97" s="30">
        <v>410</v>
      </c>
      <c r="C97" s="30" t="s">
        <v>219</v>
      </c>
      <c r="D97" s="30" t="s">
        <v>8</v>
      </c>
      <c r="H97" s="30">
        <v>5</v>
      </c>
      <c r="I97" s="30" t="s">
        <v>219</v>
      </c>
      <c r="J97" s="30" t="s">
        <v>8</v>
      </c>
      <c r="L97" s="30">
        <v>48</v>
      </c>
      <c r="M97" s="30">
        <v>4</v>
      </c>
    </row>
    <row r="98" spans="1:13" ht="28.5">
      <c r="A98" s="30" t="s">
        <v>746</v>
      </c>
      <c r="B98" s="30">
        <v>410</v>
      </c>
      <c r="C98" s="30" t="s">
        <v>220</v>
      </c>
      <c r="D98" s="30" t="s">
        <v>221</v>
      </c>
      <c r="H98" s="30">
        <v>2</v>
      </c>
      <c r="I98" s="30" t="s">
        <v>220</v>
      </c>
      <c r="J98" s="30" t="s">
        <v>221</v>
      </c>
      <c r="L98" s="30">
        <v>53</v>
      </c>
      <c r="M98" s="30">
        <v>4</v>
      </c>
    </row>
    <row r="99" spans="1:13" ht="42.75">
      <c r="A99" s="30" t="s">
        <v>222</v>
      </c>
      <c r="B99" s="30">
        <v>410</v>
      </c>
      <c r="C99" s="30" t="s">
        <v>223</v>
      </c>
      <c r="D99" s="30" t="s">
        <v>224</v>
      </c>
      <c r="H99" s="30">
        <v>5</v>
      </c>
      <c r="I99" s="30" t="s">
        <v>223</v>
      </c>
      <c r="J99" s="30" t="s">
        <v>224</v>
      </c>
      <c r="L99" s="30">
        <v>65</v>
      </c>
      <c r="M99" s="30">
        <v>5</v>
      </c>
    </row>
    <row r="100" spans="1:13" ht="42.75">
      <c r="A100" s="30" t="s">
        <v>225</v>
      </c>
      <c r="B100" s="30">
        <v>410</v>
      </c>
      <c r="C100" s="30" t="s">
        <v>226</v>
      </c>
      <c r="D100" s="30" t="s">
        <v>121</v>
      </c>
      <c r="H100" s="30">
        <v>4</v>
      </c>
      <c r="I100" s="30" t="s">
        <v>226</v>
      </c>
      <c r="J100" s="30" t="s">
        <v>121</v>
      </c>
      <c r="L100" s="30">
        <v>44</v>
      </c>
      <c r="M100" s="30">
        <v>5</v>
      </c>
    </row>
    <row r="101" spans="1:13" ht="28.5">
      <c r="A101" s="30" t="s">
        <v>227</v>
      </c>
      <c r="B101" s="30">
        <v>410</v>
      </c>
      <c r="C101" s="30" t="s">
        <v>228</v>
      </c>
      <c r="D101" s="30" t="s">
        <v>11</v>
      </c>
      <c r="H101" s="30">
        <v>4</v>
      </c>
      <c r="I101" s="30" t="s">
        <v>228</v>
      </c>
      <c r="J101" s="30" t="s">
        <v>11</v>
      </c>
      <c r="L101" s="30">
        <v>72</v>
      </c>
      <c r="M101" s="30">
        <v>5</v>
      </c>
    </row>
    <row r="102" spans="1:13" ht="42.75">
      <c r="A102" s="30" t="s">
        <v>229</v>
      </c>
      <c r="B102" s="30">
        <v>410</v>
      </c>
      <c r="C102" s="30" t="s">
        <v>230</v>
      </c>
      <c r="D102" s="30" t="s">
        <v>38</v>
      </c>
      <c r="H102" s="30">
        <v>5</v>
      </c>
      <c r="I102" s="30" t="s">
        <v>230</v>
      </c>
      <c r="J102" s="30" t="s">
        <v>38</v>
      </c>
      <c r="L102" s="30">
        <v>54</v>
      </c>
      <c r="M102" s="30">
        <v>5</v>
      </c>
    </row>
    <row r="103" spans="1:13" ht="42.75">
      <c r="A103" s="30" t="s">
        <v>231</v>
      </c>
      <c r="B103" s="30">
        <v>410</v>
      </c>
      <c r="C103" s="30" t="s">
        <v>232</v>
      </c>
      <c r="D103" s="30" t="s">
        <v>233</v>
      </c>
      <c r="H103" s="30">
        <v>4</v>
      </c>
      <c r="I103" s="30" t="s">
        <v>232</v>
      </c>
      <c r="J103" s="30" t="s">
        <v>233</v>
      </c>
      <c r="L103" s="30">
        <v>59</v>
      </c>
      <c r="M103" s="30">
        <v>5</v>
      </c>
    </row>
    <row r="104" spans="1:13" ht="42.75">
      <c r="A104" s="30" t="s">
        <v>234</v>
      </c>
      <c r="B104" s="30">
        <v>410</v>
      </c>
      <c r="C104" s="30" t="s">
        <v>318</v>
      </c>
      <c r="D104" s="30" t="s">
        <v>177</v>
      </c>
      <c r="E104" s="30" t="s">
        <v>8</v>
      </c>
      <c r="H104" s="30">
        <v>4</v>
      </c>
      <c r="I104" s="30" t="s">
        <v>318</v>
      </c>
      <c r="J104" s="30" t="s">
        <v>177</v>
      </c>
      <c r="L104" s="30">
        <v>43</v>
      </c>
      <c r="M104" s="30">
        <v>5</v>
      </c>
    </row>
    <row r="105" spans="1:13" ht="28.5">
      <c r="A105" s="30" t="s">
        <v>235</v>
      </c>
      <c r="B105" s="30">
        <v>410</v>
      </c>
      <c r="C105" s="30" t="s">
        <v>236</v>
      </c>
      <c r="D105" s="30" t="s">
        <v>59</v>
      </c>
      <c r="H105" s="30">
        <v>5</v>
      </c>
      <c r="I105" s="30" t="s">
        <v>236</v>
      </c>
      <c r="J105" s="30" t="s">
        <v>59</v>
      </c>
      <c r="L105" s="30">
        <v>54</v>
      </c>
      <c r="M105" s="30">
        <v>5</v>
      </c>
    </row>
    <row r="106" spans="1:13" ht="28.5">
      <c r="A106" s="30" t="s">
        <v>237</v>
      </c>
      <c r="B106" s="30">
        <v>410</v>
      </c>
      <c r="C106" s="30" t="s">
        <v>319</v>
      </c>
      <c r="D106" s="30" t="s">
        <v>41</v>
      </c>
      <c r="H106" s="30">
        <v>5</v>
      </c>
      <c r="I106" s="30" t="s">
        <v>319</v>
      </c>
      <c r="J106" s="30" t="s">
        <v>41</v>
      </c>
      <c r="L106" s="30">
        <v>44</v>
      </c>
      <c r="M106" s="30">
        <v>4</v>
      </c>
    </row>
    <row r="107" spans="1:13" ht="42.75">
      <c r="A107" s="30" t="s">
        <v>238</v>
      </c>
      <c r="B107" s="30">
        <v>410</v>
      </c>
      <c r="C107" s="30" t="s">
        <v>239</v>
      </c>
      <c r="D107" s="30" t="s">
        <v>29</v>
      </c>
      <c r="E107" s="30" t="s">
        <v>30</v>
      </c>
      <c r="H107" s="30">
        <v>3</v>
      </c>
      <c r="I107" s="30" t="s">
        <v>239</v>
      </c>
      <c r="J107" s="30" t="s">
        <v>29</v>
      </c>
      <c r="K107" s="30" t="s">
        <v>598</v>
      </c>
      <c r="M107" s="30" t="e">
        <v>#N/A</v>
      </c>
    </row>
    <row r="108" spans="1:13" ht="28.5">
      <c r="A108" s="30" t="s">
        <v>240</v>
      </c>
      <c r="B108" s="30">
        <v>410</v>
      </c>
      <c r="C108" s="30" t="s">
        <v>241</v>
      </c>
      <c r="D108" s="30" t="s">
        <v>8</v>
      </c>
      <c r="H108" s="30">
        <v>4</v>
      </c>
      <c r="I108" s="30" t="s">
        <v>241</v>
      </c>
      <c r="J108" s="30" t="s">
        <v>8</v>
      </c>
      <c r="L108" s="30">
        <v>58</v>
      </c>
      <c r="M108" s="30">
        <v>5</v>
      </c>
    </row>
    <row r="109" spans="1:13" ht="28.5">
      <c r="A109" s="30" t="s">
        <v>242</v>
      </c>
      <c r="B109" s="30">
        <v>410</v>
      </c>
      <c r="C109" s="30" t="s">
        <v>243</v>
      </c>
      <c r="D109" s="30" t="s">
        <v>89</v>
      </c>
      <c r="E109" s="30" t="s">
        <v>121</v>
      </c>
      <c r="H109" s="30">
        <v>3</v>
      </c>
      <c r="I109" s="30" t="s">
        <v>243</v>
      </c>
      <c r="J109" s="30" t="s">
        <v>89</v>
      </c>
      <c r="L109" s="30">
        <v>59</v>
      </c>
      <c r="M109" s="30">
        <v>3</v>
      </c>
    </row>
    <row r="110" spans="1:13" ht="42.75">
      <c r="A110" s="30" t="s">
        <v>244</v>
      </c>
      <c r="B110" s="30">
        <v>410</v>
      </c>
      <c r="C110" s="30" t="s">
        <v>245</v>
      </c>
      <c r="D110" s="30" t="s">
        <v>41</v>
      </c>
      <c r="E110" s="30" t="s">
        <v>143</v>
      </c>
      <c r="H110" s="30">
        <v>5</v>
      </c>
      <c r="I110" s="30" t="s">
        <v>245</v>
      </c>
      <c r="J110" s="30" t="s">
        <v>41</v>
      </c>
      <c r="L110" s="30">
        <v>46</v>
      </c>
      <c r="M110" s="30">
        <v>5</v>
      </c>
    </row>
    <row r="111" spans="1:13" ht="42.75">
      <c r="A111" s="30" t="s">
        <v>246</v>
      </c>
      <c r="B111" s="30">
        <v>410</v>
      </c>
      <c r="C111" s="30" t="s">
        <v>247</v>
      </c>
      <c r="D111" s="30" t="s">
        <v>38</v>
      </c>
      <c r="E111" s="30" t="s">
        <v>248</v>
      </c>
      <c r="H111" s="30">
        <v>5</v>
      </c>
      <c r="I111" s="30" t="s">
        <v>247</v>
      </c>
      <c r="J111" s="30" t="s">
        <v>38</v>
      </c>
      <c r="L111" s="30">
        <v>51</v>
      </c>
      <c r="M111" s="30">
        <v>5</v>
      </c>
    </row>
    <row r="112" spans="1:13" ht="28.5">
      <c r="A112" s="30" t="s">
        <v>249</v>
      </c>
      <c r="B112" s="30">
        <v>410</v>
      </c>
      <c r="C112" s="30" t="s">
        <v>250</v>
      </c>
      <c r="D112" s="30" t="s">
        <v>251</v>
      </c>
      <c r="H112" s="30">
        <v>5</v>
      </c>
      <c r="I112" s="30" t="s">
        <v>250</v>
      </c>
      <c r="J112" s="30" t="s">
        <v>251</v>
      </c>
      <c r="L112" s="30">
        <v>65</v>
      </c>
      <c r="M112" s="30">
        <v>4</v>
      </c>
    </row>
    <row r="113" spans="1:13" ht="28.5">
      <c r="A113" s="30" t="s">
        <v>252</v>
      </c>
      <c r="B113" s="30">
        <v>410</v>
      </c>
      <c r="C113" s="30" t="s">
        <v>253</v>
      </c>
      <c r="D113" s="30" t="s">
        <v>26</v>
      </c>
      <c r="H113" s="30">
        <v>5</v>
      </c>
      <c r="I113" s="30" t="s">
        <v>320</v>
      </c>
      <c r="J113" s="30" t="s">
        <v>26</v>
      </c>
      <c r="L113" s="30">
        <v>41</v>
      </c>
      <c r="M113" s="30">
        <v>5</v>
      </c>
    </row>
    <row r="114" spans="1:13" ht="28.5">
      <c r="A114" s="30" t="s">
        <v>254</v>
      </c>
      <c r="B114" s="30">
        <v>410</v>
      </c>
      <c r="C114" s="30" t="s">
        <v>255</v>
      </c>
      <c r="D114" s="30" t="s">
        <v>8</v>
      </c>
      <c r="H114" s="30">
        <v>5</v>
      </c>
      <c r="I114" s="30" t="s">
        <v>255</v>
      </c>
      <c r="J114" s="30" t="s">
        <v>8</v>
      </c>
      <c r="L114" s="30">
        <v>54</v>
      </c>
      <c r="M114" s="30">
        <v>4</v>
      </c>
    </row>
    <row r="115" spans="1:13" ht="57">
      <c r="A115" s="30" t="s">
        <v>256</v>
      </c>
      <c r="B115" s="30">
        <v>410</v>
      </c>
      <c r="C115" s="30" t="s">
        <v>257</v>
      </c>
      <c r="D115" s="30" t="s">
        <v>258</v>
      </c>
      <c r="H115" s="30">
        <v>5</v>
      </c>
      <c r="I115" s="30" t="s">
        <v>257</v>
      </c>
      <c r="J115" s="30" t="s">
        <v>258</v>
      </c>
      <c r="L115" s="30">
        <v>61</v>
      </c>
      <c r="M115" s="30">
        <v>3</v>
      </c>
    </row>
    <row r="116" spans="1:13" ht="28.5">
      <c r="A116" s="30" t="s">
        <v>259</v>
      </c>
      <c r="B116" s="30">
        <v>410</v>
      </c>
      <c r="C116" s="30" t="s">
        <v>260</v>
      </c>
      <c r="D116" s="30" t="s">
        <v>11</v>
      </c>
      <c r="H116" s="30">
        <v>5</v>
      </c>
      <c r="I116" s="30" t="s">
        <v>260</v>
      </c>
      <c r="J116" s="30" t="s">
        <v>11</v>
      </c>
      <c r="L116" s="30">
        <v>48</v>
      </c>
      <c r="M116" s="30">
        <v>5</v>
      </c>
    </row>
    <row r="117" spans="1:13" ht="42.75">
      <c r="A117" s="30" t="s">
        <v>261</v>
      </c>
      <c r="B117" s="30">
        <v>410</v>
      </c>
      <c r="C117" s="30" t="s">
        <v>262</v>
      </c>
      <c r="D117" s="30" t="s">
        <v>137</v>
      </c>
      <c r="H117" s="30">
        <v>3</v>
      </c>
      <c r="I117" s="30" t="s">
        <v>262</v>
      </c>
      <c r="J117" s="30" t="s">
        <v>137</v>
      </c>
      <c r="L117" s="30">
        <v>43</v>
      </c>
      <c r="M117" s="30">
        <v>3</v>
      </c>
    </row>
    <row r="118" spans="1:13" ht="42.75">
      <c r="A118" s="30" t="s">
        <v>263</v>
      </c>
      <c r="B118" s="30">
        <v>410</v>
      </c>
      <c r="C118" s="30" t="s">
        <v>321</v>
      </c>
      <c r="D118" s="30" t="s">
        <v>16</v>
      </c>
      <c r="H118" s="30">
        <v>3</v>
      </c>
      <c r="I118" s="30" t="s">
        <v>321</v>
      </c>
      <c r="J118" s="30" t="s">
        <v>16</v>
      </c>
      <c r="L118" s="30">
        <v>44</v>
      </c>
      <c r="M118" s="30">
        <v>3</v>
      </c>
    </row>
    <row r="119" spans="1:13" ht="42.75">
      <c r="A119" s="30" t="s">
        <v>264</v>
      </c>
      <c r="B119" s="30">
        <v>411</v>
      </c>
      <c r="C119" s="30" t="s">
        <v>265</v>
      </c>
      <c r="D119" s="30" t="s">
        <v>266</v>
      </c>
      <c r="H119" s="30">
        <v>4</v>
      </c>
      <c r="I119" s="30" t="s">
        <v>265</v>
      </c>
      <c r="J119" s="30" t="s">
        <v>266</v>
      </c>
      <c r="L119" s="30">
        <v>72</v>
      </c>
      <c r="M119" s="30">
        <v>5</v>
      </c>
    </row>
    <row r="120" spans="1:13" ht="42.75">
      <c r="A120" s="30" t="s">
        <v>267</v>
      </c>
      <c r="B120" s="30">
        <v>411</v>
      </c>
      <c r="C120" s="30" t="s">
        <v>268</v>
      </c>
      <c r="D120" s="30" t="s">
        <v>224</v>
      </c>
      <c r="H120" s="30">
        <v>4</v>
      </c>
      <c r="I120" s="30" t="s">
        <v>268</v>
      </c>
      <c r="J120" s="30" t="s">
        <v>224</v>
      </c>
      <c r="L120" s="30">
        <v>58</v>
      </c>
      <c r="M120" s="30">
        <v>4</v>
      </c>
    </row>
    <row r="121" spans="1:13" ht="42.75">
      <c r="A121" s="30" t="s">
        <v>269</v>
      </c>
      <c r="B121" s="30">
        <v>411</v>
      </c>
      <c r="C121" s="30" t="s">
        <v>270</v>
      </c>
      <c r="D121" s="30" t="s">
        <v>271</v>
      </c>
      <c r="H121" s="30">
        <v>3</v>
      </c>
      <c r="I121" s="30" t="s">
        <v>270</v>
      </c>
      <c r="J121" s="30" t="s">
        <v>271</v>
      </c>
      <c r="L121" s="30">
        <v>40</v>
      </c>
      <c r="M121" s="30">
        <v>4</v>
      </c>
    </row>
    <row r="122" spans="1:13" ht="42.75">
      <c r="A122" s="30" t="s">
        <v>272</v>
      </c>
      <c r="B122" s="30">
        <v>411</v>
      </c>
      <c r="C122" s="30" t="s">
        <v>322</v>
      </c>
      <c r="D122" s="30" t="s">
        <v>266</v>
      </c>
      <c r="E122" s="30" t="s">
        <v>143</v>
      </c>
      <c r="H122" s="30">
        <v>3</v>
      </c>
      <c r="I122" s="30" t="s">
        <v>322</v>
      </c>
      <c r="J122" s="30" t="s">
        <v>266</v>
      </c>
      <c r="L122" s="30">
        <v>43</v>
      </c>
      <c r="M122" s="30">
        <v>5</v>
      </c>
    </row>
    <row r="123" spans="1:13" ht="42.75">
      <c r="A123" s="30" t="s">
        <v>273</v>
      </c>
      <c r="B123" s="30">
        <v>411</v>
      </c>
      <c r="C123" s="30" t="s">
        <v>274</v>
      </c>
      <c r="D123" s="30" t="s">
        <v>271</v>
      </c>
      <c r="H123" s="30">
        <v>3</v>
      </c>
      <c r="I123" s="30" t="s">
        <v>274</v>
      </c>
      <c r="J123" s="30" t="s">
        <v>271</v>
      </c>
      <c r="L123" s="30">
        <v>42</v>
      </c>
      <c r="M123" s="30">
        <v>4</v>
      </c>
    </row>
    <row r="124" spans="1:13" ht="57">
      <c r="A124" s="30" t="s">
        <v>275</v>
      </c>
      <c r="B124" s="30">
        <v>411</v>
      </c>
      <c r="C124" s="30" t="s">
        <v>323</v>
      </c>
      <c r="D124" s="30" t="s">
        <v>224</v>
      </c>
      <c r="H124" s="30">
        <v>5</v>
      </c>
      <c r="I124" s="30" t="s">
        <v>323</v>
      </c>
      <c r="J124" s="30" t="s">
        <v>224</v>
      </c>
      <c r="L124" s="30">
        <v>60</v>
      </c>
      <c r="M124" s="30">
        <v>5</v>
      </c>
    </row>
    <row r="125" spans="1:13" ht="42.75">
      <c r="A125" s="30" t="s">
        <v>276</v>
      </c>
      <c r="B125" s="30">
        <v>411</v>
      </c>
      <c r="C125" s="30" t="s">
        <v>277</v>
      </c>
      <c r="D125" s="30" t="s">
        <v>46</v>
      </c>
      <c r="H125" s="30">
        <v>4</v>
      </c>
      <c r="I125" s="30" t="s">
        <v>277</v>
      </c>
      <c r="J125" s="30" t="s">
        <v>46</v>
      </c>
      <c r="L125" s="30">
        <v>71</v>
      </c>
      <c r="M125" s="30">
        <v>4</v>
      </c>
    </row>
    <row r="126" spans="1:13" ht="42.75">
      <c r="A126" s="30" t="s">
        <v>278</v>
      </c>
      <c r="B126" s="30">
        <v>411</v>
      </c>
      <c r="C126" s="30" t="s">
        <v>279</v>
      </c>
      <c r="D126" s="30" t="s">
        <v>266</v>
      </c>
      <c r="H126" s="30">
        <v>4</v>
      </c>
      <c r="I126" s="30" t="s">
        <v>279</v>
      </c>
      <c r="J126" s="30" t="s">
        <v>266</v>
      </c>
      <c r="L126" s="30">
        <v>56</v>
      </c>
      <c r="M126" s="30">
        <v>5</v>
      </c>
    </row>
    <row r="127" spans="1:13" ht="42.75">
      <c r="A127" s="30" t="s">
        <v>280</v>
      </c>
      <c r="B127" s="30">
        <v>411</v>
      </c>
      <c r="C127" s="30" t="s">
        <v>281</v>
      </c>
      <c r="D127" s="30" t="s">
        <v>266</v>
      </c>
      <c r="E127" s="30" t="s">
        <v>143</v>
      </c>
      <c r="H127" s="30">
        <v>4</v>
      </c>
      <c r="I127" s="30" t="s">
        <v>281</v>
      </c>
      <c r="J127" s="30" t="s">
        <v>266</v>
      </c>
      <c r="L127" s="30">
        <v>40</v>
      </c>
      <c r="M127" s="30">
        <v>5</v>
      </c>
    </row>
    <row r="128" spans="1:13" ht="42.75">
      <c r="A128" s="30" t="s">
        <v>282</v>
      </c>
      <c r="B128" s="30">
        <v>411</v>
      </c>
      <c r="C128" s="30" t="s">
        <v>283</v>
      </c>
      <c r="D128" s="30" t="s">
        <v>266</v>
      </c>
      <c r="H128" s="30">
        <v>5</v>
      </c>
      <c r="I128" s="30" t="s">
        <v>283</v>
      </c>
      <c r="J128" s="30" t="s">
        <v>266</v>
      </c>
      <c r="L128" s="30">
        <v>43</v>
      </c>
      <c r="M128" s="30">
        <v>5</v>
      </c>
    </row>
    <row r="129" spans="1:13" ht="42.75">
      <c r="A129" s="30" t="s">
        <v>284</v>
      </c>
      <c r="B129" s="30">
        <v>411</v>
      </c>
      <c r="C129" s="30" t="s">
        <v>285</v>
      </c>
      <c r="D129" s="30" t="s">
        <v>41</v>
      </c>
      <c r="E129" s="30" t="s">
        <v>286</v>
      </c>
      <c r="H129" s="30">
        <v>5</v>
      </c>
      <c r="I129" s="30" t="s">
        <v>285</v>
      </c>
      <c r="J129" s="30" t="s">
        <v>41</v>
      </c>
      <c r="L129" s="30">
        <v>47</v>
      </c>
      <c r="M129" s="30">
        <v>5</v>
      </c>
    </row>
    <row r="130" spans="1:13" ht="28.5">
      <c r="A130" s="30" t="s">
        <v>287</v>
      </c>
      <c r="B130" s="30">
        <v>411</v>
      </c>
      <c r="C130" s="30" t="s">
        <v>288</v>
      </c>
      <c r="D130" s="30" t="s">
        <v>100</v>
      </c>
      <c r="H130" s="30">
        <v>4</v>
      </c>
      <c r="I130" s="30" t="s">
        <v>288</v>
      </c>
      <c r="J130" s="30" t="s">
        <v>100</v>
      </c>
      <c r="L130" s="30">
        <v>46</v>
      </c>
      <c r="M130" s="30">
        <v>4</v>
      </c>
    </row>
    <row r="131" spans="1:13" ht="28.5">
      <c r="A131" s="30" t="s">
        <v>289</v>
      </c>
      <c r="B131" s="30">
        <v>411</v>
      </c>
      <c r="C131" s="30" t="s">
        <v>290</v>
      </c>
      <c r="D131" s="30" t="s">
        <v>100</v>
      </c>
      <c r="H131" s="30">
        <v>4</v>
      </c>
      <c r="I131" s="30" t="s">
        <v>290</v>
      </c>
      <c r="J131" s="30" t="s">
        <v>100</v>
      </c>
      <c r="L131" s="30">
        <v>52</v>
      </c>
      <c r="M131" s="30">
        <v>5</v>
      </c>
    </row>
    <row r="132" spans="1:13" ht="28.5">
      <c r="A132" s="30" t="s">
        <v>291</v>
      </c>
      <c r="B132" s="30">
        <v>411</v>
      </c>
      <c r="C132" s="30" t="s">
        <v>292</v>
      </c>
      <c r="D132" s="30" t="s">
        <v>11</v>
      </c>
      <c r="H132" s="30">
        <v>4</v>
      </c>
      <c r="I132" s="30" t="s">
        <v>292</v>
      </c>
      <c r="J132" s="30" t="s">
        <v>11</v>
      </c>
      <c r="L132" s="30">
        <v>45</v>
      </c>
      <c r="M132" s="30">
        <v>5</v>
      </c>
    </row>
    <row r="133" spans="1:13" ht="42.75">
      <c r="A133" s="30" t="s">
        <v>293</v>
      </c>
      <c r="B133" s="30">
        <v>411</v>
      </c>
      <c r="C133" s="30" t="s">
        <v>294</v>
      </c>
      <c r="D133" s="30" t="s">
        <v>266</v>
      </c>
      <c r="H133" s="30">
        <v>5</v>
      </c>
      <c r="I133" s="30" t="s">
        <v>294</v>
      </c>
      <c r="J133" s="30" t="s">
        <v>266</v>
      </c>
      <c r="L133" s="30">
        <v>68</v>
      </c>
      <c r="M133" s="30">
        <v>5</v>
      </c>
    </row>
    <row r="134" spans="1:13" ht="42.75">
      <c r="A134" s="30" t="s">
        <v>295</v>
      </c>
      <c r="B134" s="30">
        <v>411</v>
      </c>
      <c r="C134" s="30" t="s">
        <v>296</v>
      </c>
      <c r="D134" s="30" t="s">
        <v>11</v>
      </c>
      <c r="H134" s="30">
        <v>4</v>
      </c>
      <c r="I134" s="30" t="s">
        <v>296</v>
      </c>
      <c r="J134" s="30" t="s">
        <v>11</v>
      </c>
      <c r="L134" s="30">
        <v>55</v>
      </c>
      <c r="M134" s="30">
        <v>5</v>
      </c>
    </row>
    <row r="135" spans="1:13" ht="42.75">
      <c r="A135" s="30" t="s">
        <v>297</v>
      </c>
      <c r="B135" s="30">
        <v>411</v>
      </c>
      <c r="C135" s="30" t="s">
        <v>298</v>
      </c>
      <c r="D135" s="30" t="s">
        <v>299</v>
      </c>
      <c r="H135" s="30">
        <v>4</v>
      </c>
      <c r="I135" s="30" t="s">
        <v>298</v>
      </c>
      <c r="J135" s="30" t="s">
        <v>299</v>
      </c>
      <c r="L135" s="30">
        <v>64</v>
      </c>
      <c r="M135" s="30">
        <v>5</v>
      </c>
    </row>
    <row r="136" spans="1:13" ht="42.75">
      <c r="A136" s="30" t="s">
        <v>300</v>
      </c>
      <c r="B136" s="30">
        <v>411</v>
      </c>
      <c r="C136" s="30" t="s">
        <v>301</v>
      </c>
      <c r="D136" s="30" t="s">
        <v>266</v>
      </c>
      <c r="H136" s="30">
        <v>4</v>
      </c>
      <c r="I136" s="30" t="s">
        <v>301</v>
      </c>
      <c r="J136" s="30" t="s">
        <v>266</v>
      </c>
      <c r="L136" s="30">
        <v>46</v>
      </c>
      <c r="M136" s="30">
        <v>5</v>
      </c>
    </row>
    <row r="137" spans="1:13" ht="28.5">
      <c r="A137" s="30" t="s">
        <v>302</v>
      </c>
      <c r="B137" s="30">
        <v>411</v>
      </c>
      <c r="C137" s="30" t="s">
        <v>303</v>
      </c>
      <c r="D137" s="30" t="s">
        <v>224</v>
      </c>
      <c r="H137" s="30">
        <v>5</v>
      </c>
      <c r="I137" s="30" t="s">
        <v>303</v>
      </c>
      <c r="J137" s="30" t="s">
        <v>224</v>
      </c>
      <c r="L137" s="30">
        <v>73</v>
      </c>
      <c r="M137" s="30">
        <v>5</v>
      </c>
    </row>
    <row r="138" spans="1:13" ht="57">
      <c r="A138" s="30" t="s">
        <v>337</v>
      </c>
      <c r="B138" s="30">
        <v>206</v>
      </c>
      <c r="C138" s="30" t="s">
        <v>338</v>
      </c>
      <c r="D138" s="30" t="s">
        <v>8</v>
      </c>
      <c r="F138" s="30" t="s">
        <v>545</v>
      </c>
      <c r="H138" s="30">
        <v>3</v>
      </c>
      <c r="I138" s="30" t="s">
        <v>338</v>
      </c>
      <c r="J138" s="30" t="s">
        <v>8</v>
      </c>
      <c r="L138" s="30">
        <v>81</v>
      </c>
      <c r="M138" s="30" t="e">
        <v>#N/A</v>
      </c>
    </row>
    <row r="139" spans="1:13" ht="28.5">
      <c r="A139" s="30" t="s">
        <v>339</v>
      </c>
      <c r="B139" s="30">
        <v>206</v>
      </c>
      <c r="C139" s="30" t="s">
        <v>340</v>
      </c>
      <c r="D139" s="30" t="s">
        <v>341</v>
      </c>
      <c r="G139" s="30" t="s">
        <v>596</v>
      </c>
      <c r="H139" s="30" t="e">
        <v>#N/A</v>
      </c>
      <c r="I139" s="30" t="s">
        <v>340</v>
      </c>
      <c r="J139" s="30" t="s">
        <v>341</v>
      </c>
      <c r="K139" s="30" t="s">
        <v>599</v>
      </c>
      <c r="M139" s="30" t="e">
        <v>#N/A</v>
      </c>
    </row>
    <row r="140" spans="1:13" ht="57">
      <c r="A140" s="30" t="s">
        <v>342</v>
      </c>
      <c r="B140" s="30">
        <v>206</v>
      </c>
      <c r="C140" s="30" t="s">
        <v>343</v>
      </c>
      <c r="D140" s="30" t="s">
        <v>41</v>
      </c>
      <c r="E140" s="30" t="s">
        <v>30</v>
      </c>
      <c r="F140" s="30" t="s">
        <v>546</v>
      </c>
      <c r="H140" s="30">
        <v>4</v>
      </c>
      <c r="I140" s="30" t="s">
        <v>343</v>
      </c>
      <c r="J140" s="30" t="s">
        <v>41</v>
      </c>
      <c r="L140" s="30">
        <v>73</v>
      </c>
      <c r="M140" s="30" t="e">
        <v>#N/A</v>
      </c>
    </row>
    <row r="141" spans="1:13" ht="71.25">
      <c r="A141" s="30" t="s">
        <v>344</v>
      </c>
      <c r="B141" s="30">
        <v>206</v>
      </c>
      <c r="C141" s="30" t="s">
        <v>345</v>
      </c>
      <c r="D141" s="30" t="s">
        <v>346</v>
      </c>
      <c r="F141" s="30" t="s">
        <v>547</v>
      </c>
      <c r="H141" s="30">
        <v>5</v>
      </c>
      <c r="I141" s="30" t="s">
        <v>345</v>
      </c>
      <c r="J141" s="30" t="s">
        <v>346</v>
      </c>
      <c r="L141" s="30">
        <v>55</v>
      </c>
      <c r="M141" s="30" t="e">
        <v>#N/A</v>
      </c>
    </row>
    <row r="142" spans="1:13" ht="57">
      <c r="A142" s="30" t="s">
        <v>347</v>
      </c>
      <c r="B142" s="30">
        <v>206</v>
      </c>
      <c r="C142" s="30" t="s">
        <v>348</v>
      </c>
      <c r="D142" s="30" t="s">
        <v>41</v>
      </c>
      <c r="F142" s="30" t="s">
        <v>548</v>
      </c>
      <c r="H142" s="30">
        <v>4</v>
      </c>
      <c r="I142" s="30" t="s">
        <v>348</v>
      </c>
      <c r="J142" s="30" t="s">
        <v>41</v>
      </c>
      <c r="L142" s="30">
        <v>118</v>
      </c>
      <c r="M142" s="30" t="e">
        <v>#N/A</v>
      </c>
    </row>
    <row r="143" spans="1:13" ht="57">
      <c r="A143" s="30" t="s">
        <v>349</v>
      </c>
      <c r="B143" s="30">
        <v>207</v>
      </c>
      <c r="C143" s="30" t="s">
        <v>350</v>
      </c>
      <c r="D143" s="30" t="s">
        <v>346</v>
      </c>
      <c r="F143" s="30" t="s">
        <v>549</v>
      </c>
      <c r="H143" s="30">
        <v>4</v>
      </c>
      <c r="I143" s="30" t="s">
        <v>350</v>
      </c>
      <c r="J143" s="30" t="s">
        <v>346</v>
      </c>
      <c r="L143" s="30">
        <v>49</v>
      </c>
      <c r="M143" s="30">
        <v>5</v>
      </c>
    </row>
    <row r="144" spans="1:13" ht="57">
      <c r="A144" s="30" t="s">
        <v>351</v>
      </c>
      <c r="B144" s="30">
        <v>207</v>
      </c>
      <c r="C144" s="30" t="s">
        <v>352</v>
      </c>
      <c r="D144" s="30" t="s">
        <v>8</v>
      </c>
      <c r="E144" s="30" t="s">
        <v>537</v>
      </c>
      <c r="G144" s="30" t="s">
        <v>596</v>
      </c>
      <c r="H144" s="30" t="e">
        <v>#N/A</v>
      </c>
      <c r="I144" s="30" t="s">
        <v>352</v>
      </c>
      <c r="J144" s="30" t="s">
        <v>8</v>
      </c>
      <c r="K144" s="30" t="s">
        <v>599</v>
      </c>
      <c r="M144" s="30" t="e">
        <v>#N/A</v>
      </c>
    </row>
    <row r="145" spans="1:13" ht="28.5">
      <c r="A145" s="30" t="s">
        <v>353</v>
      </c>
      <c r="B145" s="30">
        <v>207</v>
      </c>
      <c r="C145" s="30" t="s">
        <v>354</v>
      </c>
      <c r="D145" s="30" t="s">
        <v>8</v>
      </c>
      <c r="E145" s="30" t="s">
        <v>537</v>
      </c>
      <c r="G145" s="30" t="s">
        <v>596</v>
      </c>
      <c r="H145" s="30" t="e">
        <v>#N/A</v>
      </c>
      <c r="I145" s="30" t="s">
        <v>354</v>
      </c>
      <c r="J145" s="30" t="s">
        <v>8</v>
      </c>
      <c r="K145" s="30" t="s">
        <v>599</v>
      </c>
      <c r="M145" s="30" t="e">
        <v>#N/A</v>
      </c>
    </row>
    <row r="146" spans="1:13" ht="99.75">
      <c r="A146" s="30" t="s">
        <v>355</v>
      </c>
      <c r="B146" s="30">
        <v>207</v>
      </c>
      <c r="C146" s="30" t="s">
        <v>356</v>
      </c>
      <c r="D146" s="30" t="s">
        <v>121</v>
      </c>
      <c r="F146" s="30" t="s">
        <v>550</v>
      </c>
      <c r="H146" s="30">
        <v>3</v>
      </c>
      <c r="I146" s="30" t="s">
        <v>356</v>
      </c>
      <c r="J146" s="30" t="s">
        <v>121</v>
      </c>
      <c r="L146" s="30">
        <v>96</v>
      </c>
      <c r="M146" s="30">
        <v>4</v>
      </c>
    </row>
    <row r="147" spans="1:13" ht="28.5">
      <c r="A147" s="30" t="s">
        <v>357</v>
      </c>
      <c r="B147" s="30">
        <v>207</v>
      </c>
      <c r="C147" s="30" t="s">
        <v>358</v>
      </c>
      <c r="D147" s="30" t="s">
        <v>258</v>
      </c>
      <c r="F147" s="30" t="s">
        <v>551</v>
      </c>
      <c r="H147" s="30">
        <v>5</v>
      </c>
      <c r="I147" s="30" t="s">
        <v>358</v>
      </c>
      <c r="J147" s="30" t="s">
        <v>258</v>
      </c>
      <c r="L147" s="30">
        <v>76</v>
      </c>
      <c r="M147" s="30">
        <v>5</v>
      </c>
    </row>
    <row r="148" spans="1:13" ht="42.75">
      <c r="A148" s="30" t="s">
        <v>359</v>
      </c>
      <c r="B148" s="30">
        <v>207</v>
      </c>
      <c r="C148" s="30" t="s">
        <v>360</v>
      </c>
      <c r="D148" s="30" t="s">
        <v>251</v>
      </c>
      <c r="F148" s="30" t="s">
        <v>552</v>
      </c>
      <c r="H148" s="30">
        <v>4</v>
      </c>
      <c r="I148" s="30" t="s">
        <v>360</v>
      </c>
      <c r="J148" s="30" t="s">
        <v>251</v>
      </c>
      <c r="L148" s="30">
        <v>62</v>
      </c>
      <c r="M148" s="30">
        <v>5</v>
      </c>
    </row>
    <row r="149" spans="1:13" ht="57">
      <c r="A149" s="30" t="s">
        <v>361</v>
      </c>
      <c r="B149" s="30">
        <v>207</v>
      </c>
      <c r="C149" s="30" t="s">
        <v>362</v>
      </c>
      <c r="D149" s="30" t="s">
        <v>164</v>
      </c>
      <c r="F149" s="30" t="s">
        <v>545</v>
      </c>
      <c r="G149" s="30" t="s">
        <v>597</v>
      </c>
      <c r="H149" s="30">
        <v>5</v>
      </c>
      <c r="I149" s="30" t="s">
        <v>362</v>
      </c>
      <c r="J149" s="30" t="s">
        <v>164</v>
      </c>
      <c r="L149" s="30">
        <v>58</v>
      </c>
      <c r="M149" s="30">
        <v>4</v>
      </c>
    </row>
    <row r="150" spans="1:13" ht="57">
      <c r="A150" s="30" t="s">
        <v>363</v>
      </c>
      <c r="B150" s="30">
        <v>207</v>
      </c>
      <c r="C150" s="30" t="s">
        <v>364</v>
      </c>
      <c r="D150" s="30" t="s">
        <v>164</v>
      </c>
      <c r="F150" s="30" t="s">
        <v>553</v>
      </c>
      <c r="H150" s="30">
        <v>5</v>
      </c>
      <c r="I150" s="30" t="s">
        <v>364</v>
      </c>
      <c r="J150" s="30" t="s">
        <v>164</v>
      </c>
      <c r="L150" s="30">
        <v>71</v>
      </c>
      <c r="M150" s="30">
        <v>4</v>
      </c>
    </row>
    <row r="151" spans="1:13" ht="42.75">
      <c r="A151" s="30" t="s">
        <v>365</v>
      </c>
      <c r="B151" s="30">
        <v>207</v>
      </c>
      <c r="C151" s="30" t="s">
        <v>366</v>
      </c>
      <c r="D151" s="30" t="s">
        <v>121</v>
      </c>
      <c r="F151" s="30" t="s">
        <v>554</v>
      </c>
      <c r="H151" s="30">
        <v>4</v>
      </c>
      <c r="I151" s="30" t="s">
        <v>366</v>
      </c>
      <c r="J151" s="30" t="s">
        <v>121</v>
      </c>
      <c r="L151" s="30">
        <v>50</v>
      </c>
      <c r="M151" s="30">
        <v>5</v>
      </c>
    </row>
    <row r="152" spans="1:13" ht="57">
      <c r="A152" s="30" t="s">
        <v>367</v>
      </c>
      <c r="B152" s="30">
        <v>208</v>
      </c>
      <c r="C152" s="30" t="s">
        <v>368</v>
      </c>
      <c r="D152" s="30" t="s">
        <v>266</v>
      </c>
      <c r="E152" s="30" t="s">
        <v>30</v>
      </c>
      <c r="F152" s="30" t="s">
        <v>555</v>
      </c>
      <c r="H152" s="30">
        <v>4</v>
      </c>
      <c r="I152" s="30" t="s">
        <v>368</v>
      </c>
      <c r="J152" s="30" t="s">
        <v>266</v>
      </c>
      <c r="L152" s="30">
        <v>134</v>
      </c>
      <c r="M152" s="30">
        <v>4</v>
      </c>
    </row>
    <row r="153" spans="1:13" ht="42.75">
      <c r="A153" s="30" t="s">
        <v>369</v>
      </c>
      <c r="B153" s="30">
        <v>208</v>
      </c>
      <c r="C153" s="30" t="s">
        <v>370</v>
      </c>
      <c r="D153" s="30" t="s">
        <v>74</v>
      </c>
      <c r="F153" s="30" t="s">
        <v>556</v>
      </c>
      <c r="H153" s="30">
        <v>3</v>
      </c>
      <c r="I153" s="30" t="s">
        <v>370</v>
      </c>
      <c r="J153" s="30" t="s">
        <v>74</v>
      </c>
      <c r="L153" s="30">
        <v>71</v>
      </c>
      <c r="M153" s="30">
        <v>4</v>
      </c>
    </row>
    <row r="154" spans="1:13" ht="57">
      <c r="A154" s="30" t="s">
        <v>371</v>
      </c>
      <c r="B154" s="30">
        <v>208</v>
      </c>
      <c r="C154" s="30" t="s">
        <v>372</v>
      </c>
      <c r="D154" s="30" t="s">
        <v>100</v>
      </c>
      <c r="F154" s="30" t="s">
        <v>557</v>
      </c>
      <c r="H154" s="30">
        <v>4</v>
      </c>
      <c r="I154" s="30" t="s">
        <v>372</v>
      </c>
      <c r="J154" s="30" t="s">
        <v>100</v>
      </c>
      <c r="L154" s="30">
        <v>49</v>
      </c>
      <c r="M154" s="30">
        <v>5</v>
      </c>
    </row>
    <row r="155" spans="1:13" ht="42.75">
      <c r="A155" s="30" t="s">
        <v>373</v>
      </c>
      <c r="B155" s="30">
        <v>208</v>
      </c>
      <c r="C155" s="30" t="s">
        <v>374</v>
      </c>
      <c r="D155" s="30" t="s">
        <v>100</v>
      </c>
      <c r="E155" s="30" t="s">
        <v>30</v>
      </c>
      <c r="F155" s="30" t="s">
        <v>558</v>
      </c>
      <c r="H155" s="30">
        <v>4</v>
      </c>
      <c r="I155" s="30" t="s">
        <v>374</v>
      </c>
      <c r="J155" s="30" t="s">
        <v>100</v>
      </c>
      <c r="L155" s="30">
        <v>58</v>
      </c>
      <c r="M155" s="30">
        <v>4</v>
      </c>
    </row>
    <row r="156" spans="1:13" ht="57">
      <c r="A156" s="30" t="s">
        <v>375</v>
      </c>
      <c r="B156" s="30">
        <v>208</v>
      </c>
      <c r="C156" s="30" t="s">
        <v>376</v>
      </c>
      <c r="D156" s="30" t="s">
        <v>100</v>
      </c>
      <c r="F156" s="30" t="s">
        <v>559</v>
      </c>
      <c r="H156" s="30">
        <v>4</v>
      </c>
      <c r="I156" s="30" t="s">
        <v>376</v>
      </c>
      <c r="J156" s="30" t="s">
        <v>100</v>
      </c>
      <c r="L156" s="30">
        <v>46</v>
      </c>
      <c r="M156" s="30">
        <v>4</v>
      </c>
    </row>
    <row r="157" spans="1:13" ht="57">
      <c r="A157" s="30" t="s">
        <v>377</v>
      </c>
      <c r="B157" s="30">
        <v>208</v>
      </c>
      <c r="C157" s="30" t="s">
        <v>378</v>
      </c>
      <c r="D157" s="30" t="s">
        <v>100</v>
      </c>
      <c r="F157" s="30" t="s">
        <v>557</v>
      </c>
      <c r="H157" s="30">
        <v>3</v>
      </c>
      <c r="I157" s="30" t="s">
        <v>378</v>
      </c>
      <c r="J157" s="30" t="s">
        <v>100</v>
      </c>
      <c r="L157" s="30">
        <v>48</v>
      </c>
      <c r="M157" s="30">
        <v>4</v>
      </c>
    </row>
    <row r="158" spans="1:13" ht="85.5">
      <c r="A158" s="30" t="s">
        <v>379</v>
      </c>
      <c r="B158" s="30">
        <v>208</v>
      </c>
      <c r="C158" s="30" t="s">
        <v>380</v>
      </c>
      <c r="D158" s="30" t="s">
        <v>8</v>
      </c>
      <c r="F158" s="30" t="s">
        <v>560</v>
      </c>
      <c r="H158" s="30" t="e">
        <v>#N/A</v>
      </c>
      <c r="I158" s="30" t="s">
        <v>380</v>
      </c>
      <c r="J158" s="30" t="s">
        <v>8</v>
      </c>
      <c r="L158" s="30">
        <v>52</v>
      </c>
      <c r="M158" s="30">
        <v>5</v>
      </c>
    </row>
    <row r="159" spans="1:13" ht="42.75">
      <c r="A159" s="30" t="s">
        <v>381</v>
      </c>
      <c r="B159" s="30">
        <v>208</v>
      </c>
      <c r="C159" s="30" t="s">
        <v>382</v>
      </c>
      <c r="D159" s="30" t="s">
        <v>266</v>
      </c>
      <c r="F159" s="30" t="s">
        <v>556</v>
      </c>
      <c r="H159" s="30">
        <v>5</v>
      </c>
      <c r="I159" s="30" t="s">
        <v>382</v>
      </c>
      <c r="J159" s="30" t="s">
        <v>266</v>
      </c>
      <c r="L159" s="30">
        <v>54</v>
      </c>
      <c r="M159" s="30">
        <v>5</v>
      </c>
    </row>
    <row r="160" spans="1:13" ht="42.75">
      <c r="A160" s="30" t="s">
        <v>383</v>
      </c>
      <c r="B160" s="30">
        <v>208</v>
      </c>
      <c r="C160" s="30" t="s">
        <v>538</v>
      </c>
      <c r="D160" s="30" t="s">
        <v>8</v>
      </c>
      <c r="F160" s="30" t="s">
        <v>561</v>
      </c>
      <c r="H160" s="30">
        <v>5</v>
      </c>
      <c r="I160" s="30" t="s">
        <v>538</v>
      </c>
      <c r="J160" s="30" t="s">
        <v>8</v>
      </c>
      <c r="L160" s="30">
        <v>51</v>
      </c>
      <c r="M160" s="30">
        <v>5</v>
      </c>
    </row>
    <row r="161" spans="1:13" ht="57">
      <c r="A161" s="30" t="s">
        <v>384</v>
      </c>
      <c r="B161" s="30">
        <v>208</v>
      </c>
      <c r="C161" s="30" t="s">
        <v>385</v>
      </c>
      <c r="D161" s="30" t="s">
        <v>8</v>
      </c>
      <c r="F161" s="30" t="s">
        <v>559</v>
      </c>
      <c r="H161" s="30">
        <v>5</v>
      </c>
      <c r="I161" s="30" t="s">
        <v>385</v>
      </c>
      <c r="J161" s="30" t="s">
        <v>8</v>
      </c>
      <c r="L161" s="30">
        <v>56</v>
      </c>
      <c r="M161" s="30">
        <v>5</v>
      </c>
    </row>
    <row r="162" spans="1:13" ht="71.25">
      <c r="A162" s="30" t="s">
        <v>386</v>
      </c>
      <c r="B162" s="30">
        <v>208</v>
      </c>
      <c r="C162" s="30" t="s">
        <v>539</v>
      </c>
      <c r="D162" s="30" t="s">
        <v>346</v>
      </c>
      <c r="F162" s="30" t="s">
        <v>562</v>
      </c>
      <c r="H162" s="30">
        <v>5</v>
      </c>
      <c r="I162" s="30" t="s">
        <v>539</v>
      </c>
      <c r="J162" s="30" t="s">
        <v>346</v>
      </c>
      <c r="L162" s="30">
        <v>72</v>
      </c>
      <c r="M162" s="30">
        <v>5</v>
      </c>
    </row>
    <row r="163" spans="1:13" ht="71.25">
      <c r="A163" s="30" t="s">
        <v>387</v>
      </c>
      <c r="B163" s="30">
        <v>208</v>
      </c>
      <c r="C163" s="30" t="s">
        <v>388</v>
      </c>
      <c r="D163" s="30" t="s">
        <v>346</v>
      </c>
      <c r="F163" s="30" t="s">
        <v>562</v>
      </c>
      <c r="H163" s="30">
        <v>5</v>
      </c>
      <c r="I163" s="30" t="s">
        <v>388</v>
      </c>
      <c r="J163" s="30" t="s">
        <v>346</v>
      </c>
      <c r="L163" s="30">
        <v>72</v>
      </c>
      <c r="M163" s="30">
        <v>5</v>
      </c>
    </row>
    <row r="164" spans="1:13" ht="42.75">
      <c r="A164" s="30" t="s">
        <v>389</v>
      </c>
      <c r="B164" s="30">
        <v>208</v>
      </c>
      <c r="C164" s="30" t="s">
        <v>390</v>
      </c>
      <c r="D164" s="30" t="s">
        <v>266</v>
      </c>
      <c r="F164" s="30" t="s">
        <v>563</v>
      </c>
      <c r="H164" s="30">
        <v>5</v>
      </c>
      <c r="I164" s="30" t="s">
        <v>390</v>
      </c>
      <c r="J164" s="30" t="s">
        <v>266</v>
      </c>
      <c r="L164" s="30">
        <v>44</v>
      </c>
      <c r="M164" s="30">
        <v>5</v>
      </c>
    </row>
    <row r="165" spans="1:13" ht="71.25">
      <c r="A165" s="30" t="s">
        <v>391</v>
      </c>
      <c r="B165" s="30">
        <v>209</v>
      </c>
      <c r="C165" s="30" t="s">
        <v>392</v>
      </c>
      <c r="D165" s="30" t="s">
        <v>29</v>
      </c>
      <c r="E165" s="30" t="s">
        <v>60</v>
      </c>
      <c r="F165" s="30" t="s">
        <v>561</v>
      </c>
      <c r="H165" s="30">
        <v>5</v>
      </c>
      <c r="I165" s="30" t="s">
        <v>392</v>
      </c>
      <c r="J165" s="30" t="s">
        <v>29</v>
      </c>
      <c r="L165" s="30">
        <v>62</v>
      </c>
      <c r="M165" s="30">
        <v>5</v>
      </c>
    </row>
    <row r="166" spans="1:13" ht="42.75">
      <c r="A166" s="30" t="s">
        <v>393</v>
      </c>
      <c r="B166" s="30">
        <v>209</v>
      </c>
      <c r="C166" s="30" t="s">
        <v>541</v>
      </c>
      <c r="D166" s="30" t="s">
        <v>121</v>
      </c>
      <c r="F166" s="30" t="s">
        <v>554</v>
      </c>
      <c r="H166" s="30">
        <v>4</v>
      </c>
      <c r="I166" s="30" t="s">
        <v>541</v>
      </c>
      <c r="J166" s="30" t="s">
        <v>121</v>
      </c>
      <c r="L166" s="30">
        <v>61</v>
      </c>
      <c r="M166" s="30">
        <v>4</v>
      </c>
    </row>
    <row r="167" spans="1:13" ht="42.75">
      <c r="A167" s="30" t="s">
        <v>394</v>
      </c>
      <c r="B167" s="30">
        <v>209</v>
      </c>
      <c r="C167" s="30" t="s">
        <v>395</v>
      </c>
      <c r="D167" s="30" t="s">
        <v>29</v>
      </c>
      <c r="E167" s="30" t="s">
        <v>30</v>
      </c>
      <c r="F167" s="30" t="s">
        <v>546</v>
      </c>
      <c r="H167" s="30">
        <v>3</v>
      </c>
      <c r="I167" s="30" t="s">
        <v>395</v>
      </c>
      <c r="J167" s="30" t="s">
        <v>29</v>
      </c>
      <c r="L167" s="30">
        <v>105</v>
      </c>
      <c r="M167" s="30">
        <v>4</v>
      </c>
    </row>
    <row r="168" spans="1:13" ht="42.75">
      <c r="A168" s="30" t="s">
        <v>396</v>
      </c>
      <c r="B168" s="30">
        <v>209</v>
      </c>
      <c r="C168" s="30" t="s">
        <v>397</v>
      </c>
      <c r="D168" s="30" t="s">
        <v>398</v>
      </c>
      <c r="E168" s="30" t="s">
        <v>399</v>
      </c>
      <c r="F168" s="30" t="s">
        <v>564</v>
      </c>
      <c r="H168" s="30">
        <v>5</v>
      </c>
      <c r="I168" s="30" t="s">
        <v>397</v>
      </c>
      <c r="J168" s="30" t="s">
        <v>398</v>
      </c>
      <c r="L168" s="30">
        <v>79</v>
      </c>
      <c r="M168" s="30">
        <v>5</v>
      </c>
    </row>
    <row r="169" spans="1:13" ht="42.75">
      <c r="A169" s="30" t="s">
        <v>400</v>
      </c>
      <c r="B169" s="30">
        <v>209</v>
      </c>
      <c r="C169" s="30" t="s">
        <v>401</v>
      </c>
      <c r="D169" s="30" t="s">
        <v>29</v>
      </c>
      <c r="F169" s="30" t="s">
        <v>561</v>
      </c>
      <c r="H169" s="30">
        <v>4</v>
      </c>
      <c r="I169" s="30" t="s">
        <v>401</v>
      </c>
      <c r="J169" s="30" t="s">
        <v>29</v>
      </c>
      <c r="L169" s="30">
        <v>39</v>
      </c>
      <c r="M169" s="30">
        <v>4</v>
      </c>
    </row>
    <row r="170" spans="1:13" ht="42.75">
      <c r="A170" s="30" t="s">
        <v>402</v>
      </c>
      <c r="B170" s="30">
        <v>209</v>
      </c>
      <c r="C170" s="30" t="s">
        <v>403</v>
      </c>
      <c r="D170" s="30" t="s">
        <v>404</v>
      </c>
      <c r="G170" s="30" t="s">
        <v>596</v>
      </c>
      <c r="H170" s="30" t="e">
        <v>#N/A</v>
      </c>
      <c r="I170" s="30" t="s">
        <v>403</v>
      </c>
      <c r="J170" s="30" t="s">
        <v>404</v>
      </c>
      <c r="K170" s="30" t="s">
        <v>599</v>
      </c>
      <c r="M170" s="30" t="e">
        <v>#N/A</v>
      </c>
    </row>
    <row r="171" spans="1:13" ht="85.5">
      <c r="A171" s="30" t="s">
        <v>405</v>
      </c>
      <c r="B171" s="30">
        <v>209</v>
      </c>
      <c r="C171" s="30" t="s">
        <v>542</v>
      </c>
      <c r="D171" s="30" t="s">
        <v>266</v>
      </c>
      <c r="F171" s="30" t="s">
        <v>565</v>
      </c>
      <c r="H171" s="30">
        <v>3</v>
      </c>
      <c r="I171" s="30" t="s">
        <v>542</v>
      </c>
      <c r="J171" s="30" t="s">
        <v>266</v>
      </c>
      <c r="L171" s="30">
        <v>60</v>
      </c>
      <c r="M171" s="30">
        <v>4</v>
      </c>
    </row>
    <row r="172" spans="1:13" ht="85.5">
      <c r="A172" s="30" t="s">
        <v>406</v>
      </c>
      <c r="B172" s="30">
        <v>209</v>
      </c>
      <c r="C172" s="30" t="s">
        <v>407</v>
      </c>
      <c r="D172" s="30" t="s">
        <v>29</v>
      </c>
      <c r="F172" s="30" t="s">
        <v>566</v>
      </c>
      <c r="G172" s="30" t="s">
        <v>597</v>
      </c>
      <c r="H172" s="30">
        <v>4</v>
      </c>
      <c r="I172" s="30" t="s">
        <v>407</v>
      </c>
      <c r="J172" s="30" t="s">
        <v>29</v>
      </c>
      <c r="L172" s="30">
        <v>39</v>
      </c>
      <c r="M172" s="30">
        <v>5</v>
      </c>
    </row>
    <row r="173" spans="1:13" ht="57">
      <c r="A173" s="30" t="s">
        <v>408</v>
      </c>
      <c r="B173" s="30">
        <v>209</v>
      </c>
      <c r="C173" s="30" t="s">
        <v>409</v>
      </c>
      <c r="D173" s="30" t="s">
        <v>106</v>
      </c>
      <c r="E173" s="30" t="s">
        <v>143</v>
      </c>
      <c r="F173" s="30" t="s">
        <v>567</v>
      </c>
      <c r="H173" s="30">
        <v>5</v>
      </c>
      <c r="I173" s="30" t="s">
        <v>409</v>
      </c>
      <c r="J173" s="30" t="s">
        <v>106</v>
      </c>
      <c r="L173" s="30">
        <v>54</v>
      </c>
      <c r="M173" s="30">
        <v>5</v>
      </c>
    </row>
    <row r="174" spans="1:13" ht="57">
      <c r="A174" s="30" t="s">
        <v>410</v>
      </c>
      <c r="B174" s="30">
        <v>209</v>
      </c>
      <c r="C174" s="30" t="s">
        <v>411</v>
      </c>
      <c r="D174" s="30" t="s">
        <v>121</v>
      </c>
      <c r="E174" s="30" t="s">
        <v>143</v>
      </c>
      <c r="F174" s="30" t="s">
        <v>568</v>
      </c>
      <c r="H174" s="30">
        <v>4</v>
      </c>
      <c r="I174" s="30" t="s">
        <v>411</v>
      </c>
      <c r="J174" s="30" t="s">
        <v>121</v>
      </c>
      <c r="L174" s="30">
        <v>41</v>
      </c>
      <c r="M174" s="30">
        <v>5</v>
      </c>
    </row>
    <row r="175" spans="1:13" ht="71.25">
      <c r="A175" s="30" t="s">
        <v>412</v>
      </c>
      <c r="B175" s="30">
        <v>209</v>
      </c>
      <c r="C175" s="30" t="s">
        <v>413</v>
      </c>
      <c r="D175" s="30" t="s">
        <v>8</v>
      </c>
      <c r="F175" s="30" t="s">
        <v>569</v>
      </c>
      <c r="H175" s="30">
        <v>5</v>
      </c>
      <c r="I175" s="30" t="s">
        <v>413</v>
      </c>
      <c r="J175" s="30" t="s">
        <v>8</v>
      </c>
      <c r="L175" s="30">
        <v>64</v>
      </c>
      <c r="M175" s="30">
        <v>5</v>
      </c>
    </row>
    <row r="176" spans="1:13" ht="57">
      <c r="A176" s="30" t="s">
        <v>414</v>
      </c>
      <c r="B176" s="30">
        <v>209</v>
      </c>
      <c r="C176" s="30" t="s">
        <v>415</v>
      </c>
      <c r="D176" s="30" t="s">
        <v>41</v>
      </c>
      <c r="E176" s="30" t="s">
        <v>416</v>
      </c>
      <c r="F176" s="30" t="s">
        <v>553</v>
      </c>
      <c r="H176" s="30">
        <v>5</v>
      </c>
      <c r="I176" s="30" t="s">
        <v>415</v>
      </c>
      <c r="J176" s="30" t="s">
        <v>41</v>
      </c>
      <c r="L176" s="30">
        <v>74</v>
      </c>
      <c r="M176" s="30">
        <v>5</v>
      </c>
    </row>
    <row r="177" spans="1:13" ht="42.75">
      <c r="A177" s="30" t="s">
        <v>417</v>
      </c>
      <c r="B177" s="30">
        <v>209</v>
      </c>
      <c r="C177" s="30" t="s">
        <v>418</v>
      </c>
      <c r="D177" s="30" t="s">
        <v>41</v>
      </c>
      <c r="E177" s="30" t="s">
        <v>30</v>
      </c>
      <c r="F177" s="30" t="s">
        <v>570</v>
      </c>
      <c r="H177" s="30">
        <v>5</v>
      </c>
      <c r="I177" s="30" t="s">
        <v>418</v>
      </c>
      <c r="J177" s="30" t="s">
        <v>41</v>
      </c>
      <c r="L177" s="30">
        <v>80</v>
      </c>
      <c r="M177" s="30">
        <v>5</v>
      </c>
    </row>
    <row r="178" spans="1:13" ht="57">
      <c r="A178" s="30" t="s">
        <v>419</v>
      </c>
      <c r="B178" s="30">
        <v>209</v>
      </c>
      <c r="C178" s="30" t="s">
        <v>420</v>
      </c>
      <c r="D178" s="30" t="s">
        <v>8</v>
      </c>
      <c r="E178" s="30" t="s">
        <v>421</v>
      </c>
      <c r="F178" s="30" t="s">
        <v>559</v>
      </c>
      <c r="H178" s="30">
        <v>5</v>
      </c>
      <c r="I178" s="30" t="s">
        <v>420</v>
      </c>
      <c r="J178" s="30" t="s">
        <v>8</v>
      </c>
      <c r="L178" s="30">
        <v>64</v>
      </c>
      <c r="M178" s="30">
        <v>5</v>
      </c>
    </row>
    <row r="179" spans="1:13" ht="71.25">
      <c r="A179" s="30" t="s">
        <v>422</v>
      </c>
      <c r="B179" s="30">
        <v>209</v>
      </c>
      <c r="C179" s="30" t="s">
        <v>423</v>
      </c>
      <c r="D179" s="30" t="s">
        <v>100</v>
      </c>
      <c r="E179" s="30" t="s">
        <v>30</v>
      </c>
      <c r="F179" s="30" t="s">
        <v>571</v>
      </c>
      <c r="H179" s="30">
        <v>5</v>
      </c>
      <c r="I179" s="30" t="s">
        <v>423</v>
      </c>
      <c r="J179" s="30" t="s">
        <v>100</v>
      </c>
      <c r="L179" s="30">
        <v>66</v>
      </c>
      <c r="M179" s="30">
        <v>5</v>
      </c>
    </row>
    <row r="180" spans="1:13" ht="42.75">
      <c r="A180" s="30" t="s">
        <v>424</v>
      </c>
      <c r="B180" s="30">
        <v>209</v>
      </c>
      <c r="C180" s="30" t="s">
        <v>543</v>
      </c>
      <c r="D180" s="30" t="s">
        <v>121</v>
      </c>
      <c r="F180" s="30" t="s">
        <v>554</v>
      </c>
      <c r="H180" s="30">
        <v>5</v>
      </c>
      <c r="I180" s="30" t="s">
        <v>543</v>
      </c>
      <c r="J180" s="30" t="s">
        <v>121</v>
      </c>
      <c r="L180" s="30">
        <v>70</v>
      </c>
      <c r="M180" s="30">
        <v>5</v>
      </c>
    </row>
    <row r="181" spans="1:13" ht="85.5">
      <c r="A181" s="30" t="s">
        <v>425</v>
      </c>
      <c r="B181" s="30">
        <v>210</v>
      </c>
      <c r="C181" s="30" t="s">
        <v>544</v>
      </c>
      <c r="D181" s="30" t="s">
        <v>224</v>
      </c>
      <c r="F181" s="30" t="s">
        <v>560</v>
      </c>
      <c r="H181" s="30">
        <v>4</v>
      </c>
      <c r="I181" s="30" t="s">
        <v>544</v>
      </c>
      <c r="J181" s="30" t="s">
        <v>224</v>
      </c>
      <c r="L181" s="30">
        <v>52</v>
      </c>
      <c r="M181" s="30">
        <v>5</v>
      </c>
    </row>
    <row r="182" spans="1:13" ht="42.75">
      <c r="A182" s="30" t="s">
        <v>426</v>
      </c>
      <c r="B182" s="30">
        <v>210</v>
      </c>
      <c r="C182" s="30" t="s">
        <v>427</v>
      </c>
      <c r="D182" s="30" t="s">
        <v>164</v>
      </c>
      <c r="F182" s="30" t="s">
        <v>572</v>
      </c>
      <c r="H182" s="30">
        <v>5</v>
      </c>
      <c r="I182" s="30" t="s">
        <v>427</v>
      </c>
      <c r="J182" s="30" t="s">
        <v>164</v>
      </c>
      <c r="L182" s="30">
        <v>58</v>
      </c>
      <c r="M182" s="30">
        <v>5</v>
      </c>
    </row>
    <row r="183" spans="1:13" ht="85.5">
      <c r="A183" s="30" t="s">
        <v>428</v>
      </c>
      <c r="B183" s="30">
        <v>210</v>
      </c>
      <c r="C183" s="30" t="s">
        <v>429</v>
      </c>
      <c r="D183" s="30" t="s">
        <v>29</v>
      </c>
      <c r="F183" s="30" t="s">
        <v>560</v>
      </c>
      <c r="H183" s="30">
        <v>4</v>
      </c>
      <c r="I183" s="30" t="s">
        <v>429</v>
      </c>
      <c r="J183" s="30" t="s">
        <v>29</v>
      </c>
      <c r="L183" s="30">
        <v>88</v>
      </c>
      <c r="M183" s="30">
        <v>4</v>
      </c>
    </row>
    <row r="184" spans="1:13" ht="71.25">
      <c r="A184" s="30" t="s">
        <v>430</v>
      </c>
      <c r="B184" s="30">
        <v>210</v>
      </c>
      <c r="C184" s="30" t="s">
        <v>431</v>
      </c>
      <c r="D184" s="30" t="s">
        <v>41</v>
      </c>
      <c r="E184" s="30" t="s">
        <v>60</v>
      </c>
      <c r="F184" s="30" t="s">
        <v>573</v>
      </c>
      <c r="H184" s="30">
        <v>5</v>
      </c>
      <c r="I184" s="30" t="s">
        <v>431</v>
      </c>
      <c r="J184" s="30" t="s">
        <v>41</v>
      </c>
      <c r="L184" s="30">
        <v>48</v>
      </c>
      <c r="M184" s="30">
        <v>5</v>
      </c>
    </row>
    <row r="185" spans="1:13" ht="57">
      <c r="A185" s="30" t="s">
        <v>432</v>
      </c>
      <c r="B185" s="30">
        <v>210</v>
      </c>
      <c r="C185" s="30" t="s">
        <v>433</v>
      </c>
      <c r="D185" s="30" t="s">
        <v>41</v>
      </c>
      <c r="F185" s="30" t="s">
        <v>574</v>
      </c>
      <c r="H185" s="30">
        <v>5</v>
      </c>
      <c r="I185" s="30" t="s">
        <v>433</v>
      </c>
      <c r="J185" s="30" t="s">
        <v>41</v>
      </c>
      <c r="L185" s="30">
        <v>83</v>
      </c>
      <c r="M185" s="30">
        <v>5</v>
      </c>
    </row>
    <row r="186" spans="1:13" ht="85.5">
      <c r="A186" s="30" t="s">
        <v>434</v>
      </c>
      <c r="B186" s="30">
        <v>210</v>
      </c>
      <c r="C186" s="30" t="s">
        <v>435</v>
      </c>
      <c r="D186" s="30" t="s">
        <v>224</v>
      </c>
      <c r="F186" s="30" t="s">
        <v>560</v>
      </c>
      <c r="H186" s="30">
        <v>5</v>
      </c>
      <c r="I186" s="30" t="s">
        <v>435</v>
      </c>
      <c r="J186" s="30" t="s">
        <v>224</v>
      </c>
      <c r="L186" s="30">
        <v>72</v>
      </c>
      <c r="M186" s="30">
        <v>5</v>
      </c>
    </row>
    <row r="187" spans="1:13" ht="42.75">
      <c r="A187" s="30" t="s">
        <v>436</v>
      </c>
      <c r="B187" s="30">
        <v>210</v>
      </c>
      <c r="C187" s="30" t="s">
        <v>437</v>
      </c>
      <c r="D187" s="30" t="s">
        <v>8</v>
      </c>
      <c r="G187" s="30" t="s">
        <v>596</v>
      </c>
      <c r="H187" s="30" t="e">
        <v>#N/A</v>
      </c>
      <c r="I187" s="30" t="s">
        <v>437</v>
      </c>
      <c r="J187" s="30" t="s">
        <v>8</v>
      </c>
      <c r="K187" s="30" t="s">
        <v>599</v>
      </c>
      <c r="M187" s="30" t="e">
        <v>#N/A</v>
      </c>
    </row>
    <row r="188" spans="1:13" ht="42.75">
      <c r="A188" s="30" t="s">
        <v>438</v>
      </c>
      <c r="B188" s="30">
        <v>210</v>
      </c>
      <c r="C188" s="30" t="s">
        <v>439</v>
      </c>
      <c r="D188" s="30" t="s">
        <v>74</v>
      </c>
      <c r="F188" s="30" t="s">
        <v>575</v>
      </c>
      <c r="H188" s="30">
        <v>5</v>
      </c>
      <c r="I188" s="30" t="s">
        <v>439</v>
      </c>
      <c r="J188" s="30" t="s">
        <v>74</v>
      </c>
      <c r="L188" s="30">
        <v>112</v>
      </c>
      <c r="M188" s="30">
        <v>5</v>
      </c>
    </row>
    <row r="189" spans="1:13" ht="42.75">
      <c r="A189" s="30" t="s">
        <v>440</v>
      </c>
      <c r="B189" s="30">
        <v>210</v>
      </c>
      <c r="C189" s="30" t="s">
        <v>441</v>
      </c>
      <c r="D189" s="30" t="s">
        <v>121</v>
      </c>
      <c r="F189" s="30" t="s">
        <v>576</v>
      </c>
      <c r="H189" s="30">
        <v>5</v>
      </c>
      <c r="I189" s="30" t="s">
        <v>441</v>
      </c>
      <c r="J189" s="30" t="s">
        <v>121</v>
      </c>
      <c r="L189" s="30">
        <v>59</v>
      </c>
      <c r="M189" s="30">
        <v>5</v>
      </c>
    </row>
    <row r="190" spans="1:13" ht="71.25">
      <c r="A190" s="30" t="s">
        <v>442</v>
      </c>
      <c r="B190" s="30">
        <v>210</v>
      </c>
      <c r="C190" s="30" t="s">
        <v>443</v>
      </c>
      <c r="D190" s="30" t="s">
        <v>299</v>
      </c>
      <c r="F190" s="30" t="s">
        <v>577</v>
      </c>
      <c r="H190" s="30">
        <v>5</v>
      </c>
      <c r="I190" s="30" t="s">
        <v>443</v>
      </c>
      <c r="J190" s="30" t="s">
        <v>299</v>
      </c>
      <c r="L190" s="30">
        <v>56</v>
      </c>
      <c r="M190" s="30">
        <v>5</v>
      </c>
    </row>
    <row r="191" spans="1:13" ht="71.25">
      <c r="A191" s="30" t="s">
        <v>444</v>
      </c>
      <c r="B191" s="30">
        <v>211</v>
      </c>
      <c r="C191" s="30" t="s">
        <v>445</v>
      </c>
      <c r="D191" s="30" t="s">
        <v>299</v>
      </c>
      <c r="F191" s="30" t="s">
        <v>577</v>
      </c>
      <c r="H191" s="30">
        <v>4</v>
      </c>
      <c r="I191" s="30" t="s">
        <v>445</v>
      </c>
      <c r="J191" s="30" t="s">
        <v>299</v>
      </c>
      <c r="L191" s="30">
        <v>54</v>
      </c>
      <c r="M191" s="30">
        <v>5</v>
      </c>
    </row>
    <row r="192" spans="1:13" ht="42.75">
      <c r="A192" s="30" t="s">
        <v>446</v>
      </c>
      <c r="B192" s="30">
        <v>211</v>
      </c>
      <c r="C192" s="30" t="s">
        <v>447</v>
      </c>
      <c r="D192" s="30" t="s">
        <v>266</v>
      </c>
      <c r="F192" s="30" t="s">
        <v>561</v>
      </c>
      <c r="H192" s="30">
        <v>4</v>
      </c>
      <c r="I192" s="30" t="s">
        <v>447</v>
      </c>
      <c r="J192" s="30" t="s">
        <v>266</v>
      </c>
      <c r="L192" s="30">
        <v>52</v>
      </c>
      <c r="M192" s="30">
        <v>5</v>
      </c>
    </row>
    <row r="193" spans="1:13" ht="42.75">
      <c r="A193" s="30" t="s">
        <v>448</v>
      </c>
      <c r="B193" s="30">
        <v>211</v>
      </c>
      <c r="C193" s="30" t="s">
        <v>449</v>
      </c>
      <c r="D193" s="30" t="s">
        <v>74</v>
      </c>
      <c r="F193" s="30" t="s">
        <v>575</v>
      </c>
      <c r="H193" s="30">
        <v>4</v>
      </c>
      <c r="I193" s="30" t="s">
        <v>449</v>
      </c>
      <c r="J193" s="30" t="s">
        <v>74</v>
      </c>
      <c r="L193" s="30">
        <v>55</v>
      </c>
      <c r="M193" s="30">
        <v>5</v>
      </c>
    </row>
    <row r="194" spans="1:13" ht="57">
      <c r="A194" s="30" t="s">
        <v>450</v>
      </c>
      <c r="B194" s="30">
        <v>211</v>
      </c>
      <c r="C194" s="30" t="s">
        <v>451</v>
      </c>
      <c r="D194" s="30" t="s">
        <v>266</v>
      </c>
      <c r="F194" s="30" t="s">
        <v>578</v>
      </c>
      <c r="H194" s="30">
        <v>4</v>
      </c>
      <c r="I194" s="30" t="s">
        <v>451</v>
      </c>
      <c r="J194" s="30" t="s">
        <v>266</v>
      </c>
      <c r="L194" s="30">
        <v>89</v>
      </c>
      <c r="M194" s="30">
        <v>5</v>
      </c>
    </row>
    <row r="195" spans="1:13" ht="85.5">
      <c r="A195" s="30" t="s">
        <v>452</v>
      </c>
      <c r="B195" s="30">
        <v>211</v>
      </c>
      <c r="C195" s="30" t="s">
        <v>453</v>
      </c>
      <c r="D195" s="30" t="s">
        <v>29</v>
      </c>
      <c r="E195" s="30" t="s">
        <v>454</v>
      </c>
      <c r="F195" s="30" t="s">
        <v>560</v>
      </c>
      <c r="H195" s="30">
        <v>5</v>
      </c>
      <c r="I195" s="30" t="s">
        <v>453</v>
      </c>
      <c r="J195" s="30" t="s">
        <v>29</v>
      </c>
      <c r="L195" s="30">
        <v>58</v>
      </c>
      <c r="M195" s="30">
        <v>5</v>
      </c>
    </row>
    <row r="196" spans="1:13" ht="42.75">
      <c r="A196" s="30" t="s">
        <v>455</v>
      </c>
      <c r="B196" s="30">
        <v>211</v>
      </c>
      <c r="C196" s="30" t="s">
        <v>456</v>
      </c>
      <c r="D196" s="30" t="s">
        <v>41</v>
      </c>
      <c r="F196" s="30" t="s">
        <v>579</v>
      </c>
      <c r="H196" s="30">
        <v>4</v>
      </c>
      <c r="I196" s="30" t="s">
        <v>456</v>
      </c>
      <c r="J196" s="30" t="s">
        <v>41</v>
      </c>
      <c r="L196" s="30">
        <v>68</v>
      </c>
      <c r="M196" s="30">
        <v>5</v>
      </c>
    </row>
    <row r="197" spans="1:13" ht="28.5">
      <c r="A197" s="30" t="s">
        <v>457</v>
      </c>
      <c r="B197" s="30">
        <v>211</v>
      </c>
      <c r="C197" s="30" t="s">
        <v>458</v>
      </c>
      <c r="D197" s="30" t="s">
        <v>341</v>
      </c>
      <c r="G197" s="30" t="s">
        <v>596</v>
      </c>
      <c r="H197" s="30" t="e">
        <v>#N/A</v>
      </c>
      <c r="I197" s="30" t="s">
        <v>458</v>
      </c>
      <c r="J197" s="30" t="s">
        <v>341</v>
      </c>
      <c r="K197" s="30" t="s">
        <v>599</v>
      </c>
      <c r="M197" s="30" t="e">
        <v>#N/A</v>
      </c>
    </row>
    <row r="198" spans="1:13" ht="57">
      <c r="A198" s="30" t="s">
        <v>459</v>
      </c>
      <c r="B198" s="30">
        <v>211</v>
      </c>
      <c r="C198" s="30" t="s">
        <v>460</v>
      </c>
      <c r="D198" s="30" t="s">
        <v>121</v>
      </c>
      <c r="F198" s="30" t="s">
        <v>561</v>
      </c>
      <c r="H198" s="30">
        <v>5</v>
      </c>
      <c r="I198" s="30" t="s">
        <v>460</v>
      </c>
      <c r="J198" s="30" t="s">
        <v>121</v>
      </c>
      <c r="L198" s="30">
        <v>86</v>
      </c>
      <c r="M198" s="30">
        <v>5</v>
      </c>
    </row>
    <row r="199" spans="1:13" ht="42.75">
      <c r="A199" s="30" t="s">
        <v>461</v>
      </c>
      <c r="B199" s="30">
        <v>211</v>
      </c>
      <c r="C199" s="30" t="s">
        <v>462</v>
      </c>
      <c r="D199" s="30" t="s">
        <v>233</v>
      </c>
      <c r="F199" s="30" t="s">
        <v>546</v>
      </c>
      <c r="H199" s="30" t="e">
        <v>#N/A</v>
      </c>
      <c r="I199" s="30" t="s">
        <v>462</v>
      </c>
      <c r="J199" s="30" t="s">
        <v>233</v>
      </c>
      <c r="L199" s="30">
        <v>60</v>
      </c>
      <c r="M199" s="30">
        <v>5</v>
      </c>
    </row>
    <row r="200" spans="1:13" ht="42.75">
      <c r="A200" s="30" t="s">
        <v>463</v>
      </c>
      <c r="B200" s="30">
        <v>211</v>
      </c>
      <c r="C200" s="30" t="s">
        <v>464</v>
      </c>
      <c r="D200" s="30" t="s">
        <v>164</v>
      </c>
      <c r="F200" s="30" t="s">
        <v>572</v>
      </c>
      <c r="H200" s="30">
        <v>5</v>
      </c>
      <c r="I200" s="30" t="s">
        <v>464</v>
      </c>
      <c r="J200" s="30" t="s">
        <v>164</v>
      </c>
      <c r="L200" s="30">
        <v>80</v>
      </c>
      <c r="M200" s="30">
        <v>5</v>
      </c>
    </row>
    <row r="201" spans="1:13" ht="71.25">
      <c r="A201" s="30" t="s">
        <v>465</v>
      </c>
      <c r="B201" s="30">
        <v>211</v>
      </c>
      <c r="C201" s="30" t="s">
        <v>466</v>
      </c>
      <c r="D201" s="30" t="s">
        <v>8</v>
      </c>
      <c r="F201" s="30" t="s">
        <v>559</v>
      </c>
      <c r="H201" s="30">
        <v>4</v>
      </c>
      <c r="I201" s="30" t="s">
        <v>466</v>
      </c>
      <c r="J201" s="30" t="s">
        <v>8</v>
      </c>
      <c r="L201" s="30">
        <v>86</v>
      </c>
      <c r="M201" s="30">
        <v>5</v>
      </c>
    </row>
    <row r="202" spans="1:13" ht="28.5">
      <c r="A202" s="30" t="s">
        <v>467</v>
      </c>
      <c r="B202" s="30">
        <v>211</v>
      </c>
      <c r="C202" s="30" t="s">
        <v>468</v>
      </c>
      <c r="D202" s="30" t="s">
        <v>74</v>
      </c>
      <c r="G202" s="30" t="s">
        <v>596</v>
      </c>
      <c r="H202" s="30" t="e">
        <v>#N/A</v>
      </c>
      <c r="I202" s="30" t="s">
        <v>468</v>
      </c>
      <c r="J202" s="30" t="s">
        <v>74</v>
      </c>
      <c r="K202" s="30" t="s">
        <v>599</v>
      </c>
      <c r="M202" s="30" t="e">
        <v>#N/A</v>
      </c>
    </row>
    <row r="203" spans="1:13" ht="85.5">
      <c r="A203" s="30" t="s">
        <v>469</v>
      </c>
      <c r="B203" s="30">
        <v>211</v>
      </c>
      <c r="C203" s="30" t="s">
        <v>470</v>
      </c>
      <c r="D203" s="30" t="s">
        <v>106</v>
      </c>
      <c r="F203" s="30" t="s">
        <v>560</v>
      </c>
      <c r="H203" s="30">
        <v>5</v>
      </c>
      <c r="I203" s="30" t="s">
        <v>470</v>
      </c>
      <c r="J203" s="30" t="s">
        <v>106</v>
      </c>
      <c r="L203" s="30">
        <v>56</v>
      </c>
      <c r="M203" s="30">
        <v>5</v>
      </c>
    </row>
    <row r="204" spans="1:13" ht="57">
      <c r="A204" s="30" t="s">
        <v>471</v>
      </c>
      <c r="B204" s="30">
        <v>214</v>
      </c>
      <c r="C204" s="30" t="s">
        <v>472</v>
      </c>
      <c r="D204" s="30" t="s">
        <v>8</v>
      </c>
      <c r="E204" s="30" t="s">
        <v>473</v>
      </c>
      <c r="F204" s="30" t="s">
        <v>574</v>
      </c>
      <c r="H204" s="30" t="e">
        <v>#N/A</v>
      </c>
      <c r="I204" s="30" t="s">
        <v>472</v>
      </c>
      <c r="J204" s="30" t="s">
        <v>8</v>
      </c>
      <c r="L204" s="30">
        <v>65</v>
      </c>
      <c r="M204" s="30">
        <v>5</v>
      </c>
    </row>
    <row r="205" spans="1:13" ht="42.75">
      <c r="A205" s="30" t="s">
        <v>474</v>
      </c>
      <c r="B205" s="30">
        <v>214</v>
      </c>
      <c r="C205" s="30" t="s">
        <v>475</v>
      </c>
      <c r="D205" s="30" t="s">
        <v>41</v>
      </c>
      <c r="F205" s="30" t="s">
        <v>580</v>
      </c>
      <c r="H205" s="30" t="e">
        <v>#N/A</v>
      </c>
      <c r="I205" s="30" t="s">
        <v>475</v>
      </c>
      <c r="J205" s="30" t="s">
        <v>41</v>
      </c>
      <c r="L205" s="30">
        <v>39</v>
      </c>
      <c r="M205" s="30">
        <v>5</v>
      </c>
    </row>
    <row r="206" spans="1:13" ht="42.75">
      <c r="A206" s="30" t="s">
        <v>476</v>
      </c>
      <c r="B206" s="30">
        <v>214</v>
      </c>
      <c r="C206" s="30" t="s">
        <v>477</v>
      </c>
      <c r="D206" s="30" t="s">
        <v>29</v>
      </c>
      <c r="F206" s="30" t="s">
        <v>581</v>
      </c>
      <c r="H206" s="30">
        <v>4</v>
      </c>
      <c r="I206" s="30" t="s">
        <v>477</v>
      </c>
      <c r="J206" s="30" t="s">
        <v>29</v>
      </c>
      <c r="L206" s="30">
        <v>46</v>
      </c>
      <c r="M206" s="30">
        <v>4</v>
      </c>
    </row>
    <row r="207" spans="1:13" ht="42.75">
      <c r="A207" s="30" t="s">
        <v>478</v>
      </c>
      <c r="B207" s="30">
        <v>214</v>
      </c>
      <c r="C207" s="30" t="s">
        <v>479</v>
      </c>
      <c r="D207" s="30" t="s">
        <v>121</v>
      </c>
      <c r="F207" s="30" t="s">
        <v>554</v>
      </c>
      <c r="H207" s="30">
        <v>4</v>
      </c>
      <c r="I207" s="30" t="s">
        <v>479</v>
      </c>
      <c r="J207" s="30" t="s">
        <v>121</v>
      </c>
      <c r="L207" s="30">
        <v>68</v>
      </c>
      <c r="M207" s="30">
        <v>4</v>
      </c>
    </row>
    <row r="208" spans="1:13" ht="57">
      <c r="A208" s="30" t="s">
        <v>480</v>
      </c>
      <c r="B208" s="30">
        <v>214</v>
      </c>
      <c r="C208" s="30" t="s">
        <v>481</v>
      </c>
      <c r="D208" s="30" t="s">
        <v>482</v>
      </c>
      <c r="F208" s="30" t="s">
        <v>582</v>
      </c>
      <c r="H208" s="30">
        <v>5</v>
      </c>
      <c r="I208" s="30" t="s">
        <v>481</v>
      </c>
      <c r="J208" s="30" t="s">
        <v>482</v>
      </c>
      <c r="L208" s="30">
        <v>87</v>
      </c>
      <c r="M208" s="30">
        <v>5</v>
      </c>
    </row>
    <row r="209" spans="1:13" ht="42.75">
      <c r="A209" s="30" t="s">
        <v>483</v>
      </c>
      <c r="B209" s="30">
        <v>214</v>
      </c>
      <c r="C209" s="30" t="s">
        <v>484</v>
      </c>
      <c r="D209" s="30" t="s">
        <v>29</v>
      </c>
      <c r="F209" s="30" t="s">
        <v>583</v>
      </c>
      <c r="H209" s="30">
        <v>5</v>
      </c>
      <c r="I209" s="30" t="s">
        <v>484</v>
      </c>
      <c r="J209" s="30" t="s">
        <v>29</v>
      </c>
      <c r="L209" s="30">
        <v>48</v>
      </c>
      <c r="M209" s="30">
        <v>4</v>
      </c>
    </row>
    <row r="210" spans="1:13" ht="28.5">
      <c r="A210" s="30" t="s">
        <v>485</v>
      </c>
      <c r="B210" s="30">
        <v>214</v>
      </c>
      <c r="C210" s="30" t="s">
        <v>486</v>
      </c>
      <c r="D210" s="30" t="s">
        <v>41</v>
      </c>
      <c r="F210" s="30" t="s">
        <v>584</v>
      </c>
      <c r="H210" s="30">
        <v>4</v>
      </c>
      <c r="I210" s="30" t="s">
        <v>486</v>
      </c>
      <c r="J210" s="30" t="s">
        <v>41</v>
      </c>
      <c r="L210" s="30">
        <v>60</v>
      </c>
      <c r="M210" s="30">
        <v>4</v>
      </c>
    </row>
    <row r="211" spans="1:13" ht="85.5">
      <c r="A211" s="30" t="s">
        <v>487</v>
      </c>
      <c r="B211" s="30">
        <v>214</v>
      </c>
      <c r="C211" s="30" t="s">
        <v>488</v>
      </c>
      <c r="D211" s="30" t="s">
        <v>266</v>
      </c>
      <c r="F211" s="30" t="s">
        <v>560</v>
      </c>
      <c r="G211" s="30" t="s">
        <v>596</v>
      </c>
      <c r="H211" s="30" t="e">
        <v>#N/A</v>
      </c>
      <c r="I211" s="30" t="s">
        <v>488</v>
      </c>
      <c r="J211" s="30" t="s">
        <v>266</v>
      </c>
      <c r="K211" s="30" t="s">
        <v>599</v>
      </c>
      <c r="M211" s="30" t="e">
        <v>#N/A</v>
      </c>
    </row>
    <row r="212" spans="1:13" ht="42.75">
      <c r="A212" s="30" t="s">
        <v>489</v>
      </c>
      <c r="B212" s="30">
        <v>214</v>
      </c>
      <c r="C212" s="30" t="s">
        <v>490</v>
      </c>
      <c r="D212" s="30" t="s">
        <v>38</v>
      </c>
      <c r="E212" s="30" t="s">
        <v>143</v>
      </c>
      <c r="F212" s="30" t="s">
        <v>585</v>
      </c>
      <c r="H212" s="30">
        <v>4</v>
      </c>
      <c r="I212" s="30" t="s">
        <v>490</v>
      </c>
      <c r="J212" s="30" t="s">
        <v>38</v>
      </c>
      <c r="L212" s="30">
        <v>73</v>
      </c>
      <c r="M212" s="30">
        <v>4</v>
      </c>
    </row>
    <row r="213" spans="1:13" ht="71.25">
      <c r="A213" s="30" t="s">
        <v>491</v>
      </c>
      <c r="B213" s="30">
        <v>214</v>
      </c>
      <c r="C213" s="30" t="s">
        <v>492</v>
      </c>
      <c r="D213" s="30" t="s">
        <v>404</v>
      </c>
      <c r="F213" s="30" t="s">
        <v>586</v>
      </c>
      <c r="H213" s="30">
        <v>5</v>
      </c>
      <c r="I213" s="30" t="s">
        <v>492</v>
      </c>
      <c r="J213" s="30" t="s">
        <v>404</v>
      </c>
      <c r="L213" s="30">
        <v>58</v>
      </c>
      <c r="M213" s="30">
        <v>5</v>
      </c>
    </row>
    <row r="214" spans="1:13" ht="71.25">
      <c r="A214" s="30" t="s">
        <v>493</v>
      </c>
      <c r="B214" s="30">
        <v>214</v>
      </c>
      <c r="C214" s="30" t="s">
        <v>494</v>
      </c>
      <c r="D214" s="30" t="s">
        <v>121</v>
      </c>
      <c r="F214" s="30" t="s">
        <v>587</v>
      </c>
      <c r="H214" s="30">
        <v>5</v>
      </c>
      <c r="I214" s="30" t="s">
        <v>494</v>
      </c>
      <c r="J214" s="30" t="s">
        <v>121</v>
      </c>
      <c r="L214" s="30">
        <v>110</v>
      </c>
      <c r="M214" s="30">
        <v>5</v>
      </c>
    </row>
    <row r="215" spans="1:13" ht="42.75">
      <c r="A215" s="30" t="s">
        <v>495</v>
      </c>
      <c r="B215" s="30">
        <v>214</v>
      </c>
      <c r="C215" s="30" t="s">
        <v>496</v>
      </c>
      <c r="D215" s="30" t="s">
        <v>497</v>
      </c>
      <c r="F215" s="30" t="s">
        <v>588</v>
      </c>
      <c r="H215" s="30">
        <v>4</v>
      </c>
      <c r="I215" s="30" t="s">
        <v>496</v>
      </c>
      <c r="J215" s="30" t="s">
        <v>497</v>
      </c>
      <c r="L215" s="30">
        <v>69</v>
      </c>
      <c r="M215" s="30">
        <v>4</v>
      </c>
    </row>
    <row r="216" spans="1:13" ht="28.5">
      <c r="A216" s="30" t="s">
        <v>498</v>
      </c>
      <c r="B216" s="30">
        <v>214</v>
      </c>
      <c r="C216" s="30" t="s">
        <v>499</v>
      </c>
      <c r="D216" s="30" t="s">
        <v>41</v>
      </c>
      <c r="F216" s="30" t="s">
        <v>589</v>
      </c>
      <c r="H216" s="30" t="e">
        <v>#N/A</v>
      </c>
      <c r="I216" s="30" t="s">
        <v>499</v>
      </c>
      <c r="J216" s="30" t="s">
        <v>41</v>
      </c>
      <c r="L216" s="30">
        <v>103</v>
      </c>
      <c r="M216" s="30">
        <v>5</v>
      </c>
    </row>
    <row r="217" spans="1:13" ht="57">
      <c r="A217" s="30" t="s">
        <v>500</v>
      </c>
      <c r="B217" s="30">
        <v>214</v>
      </c>
      <c r="C217" s="30" t="s">
        <v>501</v>
      </c>
      <c r="D217" s="30" t="s">
        <v>8</v>
      </c>
      <c r="F217" s="30" t="s">
        <v>559</v>
      </c>
      <c r="H217" s="30">
        <v>5</v>
      </c>
      <c r="I217" s="30" t="s">
        <v>501</v>
      </c>
      <c r="J217" s="30" t="s">
        <v>8</v>
      </c>
      <c r="L217" s="30">
        <v>86</v>
      </c>
      <c r="M217" s="30">
        <v>5</v>
      </c>
    </row>
    <row r="218" spans="1:13" ht="57">
      <c r="A218" s="30" t="s">
        <v>502</v>
      </c>
      <c r="B218" s="30">
        <v>214</v>
      </c>
      <c r="C218" s="30" t="s">
        <v>503</v>
      </c>
      <c r="D218" s="30" t="s">
        <v>341</v>
      </c>
      <c r="F218" s="30" t="s">
        <v>590</v>
      </c>
      <c r="H218" s="30">
        <v>4</v>
      </c>
      <c r="I218" s="30" t="s">
        <v>503</v>
      </c>
      <c r="J218" s="30" t="s">
        <v>341</v>
      </c>
      <c r="L218" s="30">
        <v>43</v>
      </c>
      <c r="M218" s="30">
        <v>5</v>
      </c>
    </row>
    <row r="219" spans="1:13" ht="71.25">
      <c r="A219" s="30" t="s">
        <v>504</v>
      </c>
      <c r="B219" s="30">
        <v>214</v>
      </c>
      <c r="C219" s="30" t="s">
        <v>505</v>
      </c>
      <c r="D219" s="30" t="s">
        <v>506</v>
      </c>
      <c r="F219" s="30" t="s">
        <v>591</v>
      </c>
      <c r="H219" s="30">
        <v>4</v>
      </c>
      <c r="I219" s="30" t="s">
        <v>505</v>
      </c>
      <c r="J219" s="30" t="s">
        <v>506</v>
      </c>
      <c r="L219" s="30">
        <v>44</v>
      </c>
      <c r="M219" s="30">
        <v>4</v>
      </c>
    </row>
    <row r="220" spans="1:13" ht="71.25">
      <c r="A220" s="30" t="s">
        <v>507</v>
      </c>
      <c r="B220" s="30">
        <v>101</v>
      </c>
      <c r="C220" s="30" t="s">
        <v>508</v>
      </c>
      <c r="D220" s="30" t="s">
        <v>341</v>
      </c>
      <c r="F220" s="30" t="s">
        <v>592</v>
      </c>
      <c r="H220" s="30">
        <v>5</v>
      </c>
      <c r="I220" s="30" t="s">
        <v>508</v>
      </c>
      <c r="J220" s="30" t="s">
        <v>341</v>
      </c>
      <c r="L220" s="30">
        <v>91</v>
      </c>
      <c r="M220" s="30" t="e">
        <v>#N/A</v>
      </c>
    </row>
    <row r="221" spans="1:13" ht="57">
      <c r="A221" s="30" t="s">
        <v>509</v>
      </c>
      <c r="B221" s="30">
        <v>101</v>
      </c>
      <c r="C221" s="30" t="s">
        <v>510</v>
      </c>
      <c r="D221" s="30" t="s">
        <v>121</v>
      </c>
      <c r="F221" s="30" t="s">
        <v>548</v>
      </c>
      <c r="H221" s="30">
        <v>5</v>
      </c>
      <c r="I221" s="30" t="s">
        <v>510</v>
      </c>
      <c r="J221" s="30" t="s">
        <v>121</v>
      </c>
      <c r="L221" s="30">
        <v>54</v>
      </c>
      <c r="M221" s="30" t="e">
        <v>#N/A</v>
      </c>
    </row>
    <row r="222" spans="1:13" ht="57">
      <c r="A222" s="30" t="s">
        <v>511</v>
      </c>
      <c r="B222" s="30">
        <v>101</v>
      </c>
      <c r="C222" s="30" t="s">
        <v>512</v>
      </c>
      <c r="D222" s="30" t="s">
        <v>41</v>
      </c>
      <c r="F222" s="30" t="s">
        <v>574</v>
      </c>
      <c r="H222" s="30">
        <v>5</v>
      </c>
      <c r="I222" s="30" t="s">
        <v>512</v>
      </c>
      <c r="J222" s="30" t="s">
        <v>41</v>
      </c>
      <c r="L222" s="30">
        <v>111</v>
      </c>
      <c r="M222" s="30">
        <v>5</v>
      </c>
    </row>
    <row r="223" spans="1:13" ht="42.75">
      <c r="A223" s="30" t="s">
        <v>513</v>
      </c>
      <c r="B223" s="30">
        <v>101</v>
      </c>
      <c r="C223" s="30" t="s">
        <v>514</v>
      </c>
      <c r="D223" s="30" t="s">
        <v>8</v>
      </c>
      <c r="F223" s="30" t="s">
        <v>593</v>
      </c>
      <c r="H223" s="30">
        <v>5</v>
      </c>
      <c r="I223" s="30" t="s">
        <v>514</v>
      </c>
      <c r="J223" s="30" t="s">
        <v>8</v>
      </c>
      <c r="L223" s="30">
        <v>83</v>
      </c>
      <c r="M223" s="30" t="e">
        <v>#N/A</v>
      </c>
    </row>
    <row r="224" spans="1:13" ht="85.5">
      <c r="A224" s="30" t="s">
        <v>515</v>
      </c>
      <c r="B224" s="30">
        <v>101</v>
      </c>
      <c r="C224" s="30" t="s">
        <v>516</v>
      </c>
      <c r="D224" s="30" t="s">
        <v>233</v>
      </c>
      <c r="F224" s="30" t="s">
        <v>560</v>
      </c>
      <c r="H224" s="30">
        <v>4</v>
      </c>
      <c r="I224" s="30" t="s">
        <v>516</v>
      </c>
      <c r="J224" s="30" t="s">
        <v>233</v>
      </c>
      <c r="L224" s="30">
        <v>77</v>
      </c>
      <c r="M224" s="30" t="e">
        <v>#N/A</v>
      </c>
    </row>
    <row r="225" spans="1:13" ht="57">
      <c r="A225" s="30" t="s">
        <v>517</v>
      </c>
      <c r="B225" s="30">
        <v>101</v>
      </c>
      <c r="C225" s="30" t="s">
        <v>518</v>
      </c>
      <c r="D225" s="30" t="s">
        <v>41</v>
      </c>
      <c r="F225" s="30" t="s">
        <v>578</v>
      </c>
      <c r="H225" s="30">
        <v>5</v>
      </c>
      <c r="I225" s="30" t="s">
        <v>518</v>
      </c>
      <c r="J225" s="30" t="s">
        <v>41</v>
      </c>
      <c r="L225" s="30">
        <v>96</v>
      </c>
      <c r="M225" s="30" t="e">
        <v>#N/A</v>
      </c>
    </row>
    <row r="226" spans="1:13" ht="42.75">
      <c r="A226" s="30" t="s">
        <v>519</v>
      </c>
      <c r="B226" s="30">
        <v>101</v>
      </c>
      <c r="C226" s="30" t="s">
        <v>520</v>
      </c>
      <c r="D226" s="30" t="s">
        <v>121</v>
      </c>
      <c r="F226" s="30" t="s">
        <v>575</v>
      </c>
      <c r="H226" s="30">
        <v>5</v>
      </c>
      <c r="I226" s="30" t="s">
        <v>520</v>
      </c>
      <c r="J226" s="30" t="s">
        <v>121</v>
      </c>
      <c r="L226" s="30">
        <v>60</v>
      </c>
      <c r="M226" s="30" t="e">
        <v>#N/A</v>
      </c>
    </row>
    <row r="227" spans="1:13" ht="71.25">
      <c r="A227" s="30" t="s">
        <v>521</v>
      </c>
      <c r="B227" s="30">
        <v>101</v>
      </c>
      <c r="C227" s="30" t="s">
        <v>522</v>
      </c>
      <c r="D227" s="30" t="s">
        <v>299</v>
      </c>
      <c r="F227" s="30" t="s">
        <v>577</v>
      </c>
      <c r="G227" s="30" t="s">
        <v>597</v>
      </c>
      <c r="H227" s="30">
        <v>3</v>
      </c>
      <c r="I227" s="30" t="s">
        <v>522</v>
      </c>
      <c r="J227" s="30" t="s">
        <v>299</v>
      </c>
      <c r="M227" s="30" t="e">
        <v>#N/A</v>
      </c>
    </row>
    <row r="228" spans="1:13" ht="28.5">
      <c r="A228" s="30" t="s">
        <v>523</v>
      </c>
      <c r="B228" s="30">
        <v>101</v>
      </c>
      <c r="C228" s="30" t="s">
        <v>524</v>
      </c>
      <c r="D228" s="30" t="s">
        <v>74</v>
      </c>
      <c r="G228" s="30" t="s">
        <v>596</v>
      </c>
      <c r="H228" s="30" t="e">
        <v>#N/A</v>
      </c>
      <c r="I228" s="30" t="s">
        <v>524</v>
      </c>
      <c r="J228" s="30" t="s">
        <v>74</v>
      </c>
      <c r="K228" s="30" t="s">
        <v>599</v>
      </c>
      <c r="M228" s="30" t="e">
        <v>#N/A</v>
      </c>
    </row>
    <row r="229" spans="1:13" ht="28.5">
      <c r="A229" s="30" t="s">
        <v>525</v>
      </c>
      <c r="B229" s="30">
        <v>101</v>
      </c>
      <c r="C229" s="30" t="s">
        <v>526</v>
      </c>
      <c r="D229" s="30" t="s">
        <v>41</v>
      </c>
      <c r="G229" s="30" t="s">
        <v>596</v>
      </c>
      <c r="H229" s="30" t="e">
        <v>#N/A</v>
      </c>
      <c r="I229" s="30" t="s">
        <v>526</v>
      </c>
      <c r="J229" s="30" t="s">
        <v>41</v>
      </c>
      <c r="K229" s="30" t="s">
        <v>599</v>
      </c>
      <c r="M229" s="30" t="e">
        <v>#N/A</v>
      </c>
    </row>
    <row r="230" spans="1:13" ht="42.75">
      <c r="A230" s="30" t="s">
        <v>527</v>
      </c>
      <c r="B230" s="30">
        <v>101</v>
      </c>
      <c r="C230" s="30" t="s">
        <v>528</v>
      </c>
      <c r="D230" s="30" t="s">
        <v>8</v>
      </c>
      <c r="F230" s="30" t="s">
        <v>593</v>
      </c>
      <c r="H230" s="30">
        <v>5</v>
      </c>
      <c r="I230" s="30" t="s">
        <v>528</v>
      </c>
      <c r="J230" s="30" t="s">
        <v>41</v>
      </c>
      <c r="L230" s="30">
        <v>69</v>
      </c>
      <c r="M230" s="30">
        <v>5</v>
      </c>
    </row>
    <row r="231" spans="1:13" ht="71.25">
      <c r="A231" s="30" t="s">
        <v>529</v>
      </c>
      <c r="B231" s="30">
        <v>101</v>
      </c>
      <c r="C231" s="30" t="s">
        <v>530</v>
      </c>
      <c r="D231" s="30" t="s">
        <v>106</v>
      </c>
      <c r="E231" s="30" t="s">
        <v>60</v>
      </c>
      <c r="F231" s="30" t="s">
        <v>594</v>
      </c>
      <c r="H231" s="30">
        <v>5</v>
      </c>
      <c r="I231" s="30" t="s">
        <v>530</v>
      </c>
      <c r="J231" s="30" t="s">
        <v>106</v>
      </c>
      <c r="L231" s="30">
        <v>51</v>
      </c>
      <c r="M231" s="30" t="e">
        <v>#N/A</v>
      </c>
    </row>
    <row r="232" spans="1:13" ht="57">
      <c r="A232" s="30" t="s">
        <v>531</v>
      </c>
      <c r="B232" s="30">
        <v>101</v>
      </c>
      <c r="C232" s="30" t="s">
        <v>532</v>
      </c>
      <c r="D232" s="30" t="s">
        <v>74</v>
      </c>
      <c r="F232" s="30" t="s">
        <v>548</v>
      </c>
      <c r="H232" s="30">
        <v>5</v>
      </c>
      <c r="I232" s="30" t="s">
        <v>532</v>
      </c>
      <c r="J232" s="30" t="s">
        <v>74</v>
      </c>
      <c r="L232" s="30">
        <v>49</v>
      </c>
      <c r="M232" s="30" t="e">
        <v>#N/A</v>
      </c>
    </row>
    <row r="233" spans="1:13" ht="71.25">
      <c r="A233" s="30" t="s">
        <v>533</v>
      </c>
      <c r="B233" s="30">
        <v>101</v>
      </c>
      <c r="C233" s="30" t="s">
        <v>534</v>
      </c>
      <c r="D233" s="30" t="s">
        <v>299</v>
      </c>
      <c r="F233" s="30" t="s">
        <v>595</v>
      </c>
      <c r="H233" s="30">
        <v>5</v>
      </c>
      <c r="I233" s="30" t="s">
        <v>534</v>
      </c>
      <c r="J233" s="30" t="s">
        <v>299</v>
      </c>
      <c r="L233" s="30">
        <v>51</v>
      </c>
      <c r="M233" s="30" t="e">
        <v>#N/A</v>
      </c>
    </row>
    <row r="234" spans="1:13" ht="57">
      <c r="A234" s="30" t="s">
        <v>535</v>
      </c>
      <c r="B234" s="30">
        <v>101</v>
      </c>
      <c r="C234" s="30" t="s">
        <v>536</v>
      </c>
      <c r="D234" s="30" t="s">
        <v>59</v>
      </c>
      <c r="F234" s="30" t="s">
        <v>574</v>
      </c>
      <c r="G234" s="30" t="s">
        <v>597</v>
      </c>
      <c r="H234" s="30">
        <v>3</v>
      </c>
      <c r="I234" s="30" t="s">
        <v>536</v>
      </c>
      <c r="J234" s="30" t="s">
        <v>41</v>
      </c>
      <c r="L234" s="30">
        <v>79</v>
      </c>
      <c r="M234" s="30" t="e">
        <v>#N/A</v>
      </c>
    </row>
  </sheetData>
  <autoFilter ref="A1:N234"/>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34"/>
  <sheetViews>
    <sheetView workbookViewId="0">
      <selection activeCell="H4" sqref="H4"/>
    </sheetView>
  </sheetViews>
  <sheetFormatPr defaultRowHeight="14.25"/>
  <cols>
    <col min="1" max="1" width="35.1328125" style="30" bestFit="1" customWidth="1"/>
    <col min="2" max="2" width="6.33203125" style="30" bestFit="1" customWidth="1"/>
    <col min="3" max="3" width="50.6640625" style="30" customWidth="1"/>
    <col min="4" max="4" width="47.53125" style="30" customWidth="1"/>
    <col min="5" max="5" width="42.796875" style="30" customWidth="1"/>
    <col min="6" max="6" width="30" style="30" customWidth="1"/>
    <col min="7" max="7" width="23.9296875" style="30" bestFit="1" customWidth="1"/>
    <col min="8" max="8" width="22.9296875" style="30" customWidth="1"/>
    <col min="9" max="9" width="50.1328125" style="30" customWidth="1"/>
    <col min="10" max="10" width="42.86328125" style="30" customWidth="1"/>
    <col min="11" max="11" width="19.86328125" style="30" bestFit="1" customWidth="1"/>
    <col min="12" max="12" width="25.73046875" style="30" bestFit="1" customWidth="1"/>
    <col min="13" max="13" width="20.3984375" style="30" customWidth="1"/>
    <col min="14" max="16384" width="9.06640625" style="30"/>
  </cols>
  <sheetData>
    <row r="1" spans="1:13">
      <c r="A1" s="30" t="s">
        <v>1</v>
      </c>
      <c r="B1" s="30" t="s">
        <v>2</v>
      </c>
      <c r="C1" s="30" t="s">
        <v>3</v>
      </c>
      <c r="D1" s="30" t="s">
        <v>4</v>
      </c>
      <c r="E1" s="30" t="s">
        <v>5</v>
      </c>
      <c r="F1" s="30" t="s">
        <v>333</v>
      </c>
      <c r="G1" s="30" t="s">
        <v>331</v>
      </c>
      <c r="H1" s="30" t="s">
        <v>335</v>
      </c>
      <c r="I1" s="30" t="s">
        <v>328</v>
      </c>
      <c r="J1" s="30" t="s">
        <v>329</v>
      </c>
      <c r="K1" s="30" t="s">
        <v>332</v>
      </c>
      <c r="L1" s="30" t="s">
        <v>334</v>
      </c>
      <c r="M1" s="30" t="s">
        <v>336</v>
      </c>
    </row>
    <row r="2" spans="1:13" ht="42.75">
      <c r="A2" s="30" t="s">
        <v>6</v>
      </c>
      <c r="B2" s="30">
        <v>401</v>
      </c>
      <c r="C2" s="30" t="s">
        <v>7</v>
      </c>
      <c r="D2" s="30" t="s">
        <v>8</v>
      </c>
      <c r="H2" s="30">
        <f>INDEX(пред!$A$1:$F$222,MATCH(итог!A2,пред!$A$1:$A$222,0),4)</f>
        <v>3</v>
      </c>
      <c r="I2" s="30" t="s">
        <v>7</v>
      </c>
      <c r="J2" s="30" t="s">
        <v>8</v>
      </c>
      <c r="L2" s="30">
        <v>58</v>
      </c>
      <c r="M2" s="30">
        <f>INDEX(защ!$A$1:$H$218,MATCH(итог!A2,защ!$A$1:$A$218,0),4)</f>
        <v>5</v>
      </c>
    </row>
    <row r="3" spans="1:13" ht="28.5">
      <c r="A3" s="30" t="s">
        <v>9</v>
      </c>
      <c r="B3" s="30">
        <v>401</v>
      </c>
      <c r="C3" s="30" t="s">
        <v>10</v>
      </c>
      <c r="D3" s="30" t="s">
        <v>11</v>
      </c>
      <c r="H3" s="30">
        <f>INDEX(пред!$A$1:$F$222,MATCH(итог!A3,пред!$A$1:$A$222,0),4)</f>
        <v>4</v>
      </c>
      <c r="I3" s="30" t="s">
        <v>10</v>
      </c>
      <c r="J3" s="30" t="s">
        <v>11</v>
      </c>
      <c r="L3" s="30">
        <v>42</v>
      </c>
      <c r="M3" s="30">
        <f>INDEX(защ!$A$1:$H$218,MATCH(итог!A3,защ!$A$1:$A$218,0),4)</f>
        <v>4</v>
      </c>
    </row>
    <row r="4" spans="1:13" ht="42.75">
      <c r="A4" s="30" t="s">
        <v>12</v>
      </c>
      <c r="B4" s="30">
        <v>401</v>
      </c>
      <c r="C4" s="30" t="s">
        <v>13</v>
      </c>
      <c r="D4" s="30" t="s">
        <v>8</v>
      </c>
      <c r="H4" s="30" t="e">
        <f>INDEX(пред!$A$1:$F$222,MATCH(итог!A4,пред!$A$1:$A$222,0),4)</f>
        <v>#N/A</v>
      </c>
      <c r="I4" s="30" t="s">
        <v>13</v>
      </c>
      <c r="J4" s="30" t="s">
        <v>8</v>
      </c>
      <c r="L4" s="30">
        <v>36</v>
      </c>
      <c r="M4" s="30">
        <f>INDEX(защ!$A$1:$H$218,MATCH(итог!A4,защ!$A$1:$A$218,0),4)</f>
        <v>5</v>
      </c>
    </row>
    <row r="5" spans="1:13" ht="42.75">
      <c r="A5" s="30" t="s">
        <v>14</v>
      </c>
      <c r="B5" s="30">
        <v>401</v>
      </c>
      <c r="C5" s="30" t="s">
        <v>15</v>
      </c>
      <c r="D5" s="30" t="s">
        <v>16</v>
      </c>
      <c r="H5" s="30">
        <f>INDEX(пред!$A$1:$F$222,MATCH(итог!A5,пред!$A$1:$A$222,0),4)</f>
        <v>3</v>
      </c>
      <c r="I5" s="30" t="s">
        <v>15</v>
      </c>
      <c r="J5" s="30" t="s">
        <v>16</v>
      </c>
      <c r="L5" s="30">
        <v>49</v>
      </c>
      <c r="M5" s="30">
        <f>INDEX(защ!$A$1:$H$218,MATCH(итог!A5,защ!$A$1:$A$218,0),4)</f>
        <v>4</v>
      </c>
    </row>
    <row r="6" spans="1:13" ht="28.5">
      <c r="A6" s="30" t="s">
        <v>17</v>
      </c>
      <c r="B6" s="30">
        <v>401</v>
      </c>
      <c r="C6" s="30" t="s">
        <v>18</v>
      </c>
      <c r="D6" s="30" t="s">
        <v>11</v>
      </c>
      <c r="H6" s="30">
        <f>INDEX(пред!$A$1:$F$222,MATCH(итог!A6,пред!$A$1:$A$222,0),4)</f>
        <v>4</v>
      </c>
      <c r="I6" s="30" t="s">
        <v>18</v>
      </c>
      <c r="J6" s="30" t="s">
        <v>11</v>
      </c>
      <c r="L6" s="30">
        <v>66</v>
      </c>
      <c r="M6" s="30">
        <f>INDEX(защ!$A$1:$H$218,MATCH(итог!A6,защ!$A$1:$A$218,0),4)</f>
        <v>4</v>
      </c>
    </row>
    <row r="7" spans="1:13" ht="28.5">
      <c r="A7" s="30" t="s">
        <v>19</v>
      </c>
      <c r="B7" s="30">
        <v>401</v>
      </c>
      <c r="C7" s="30" t="s">
        <v>20</v>
      </c>
      <c r="D7" s="30" t="s">
        <v>11</v>
      </c>
      <c r="H7" s="30">
        <f>INDEX(пред!$A$1:$F$222,MATCH(итог!A7,пред!$A$1:$A$222,0),4)</f>
        <v>5</v>
      </c>
      <c r="I7" s="30" t="s">
        <v>20</v>
      </c>
      <c r="J7" s="30" t="s">
        <v>11</v>
      </c>
      <c r="L7" s="30">
        <v>42</v>
      </c>
      <c r="M7" s="30">
        <f>INDEX(защ!$A$1:$H$218,MATCH(итог!A7,защ!$A$1:$A$218,0),4)</f>
        <v>5</v>
      </c>
    </row>
    <row r="8" spans="1:13" ht="28.5">
      <c r="A8" s="30" t="s">
        <v>21</v>
      </c>
      <c r="B8" s="30">
        <v>401</v>
      </c>
      <c r="C8" s="30" t="s">
        <v>22</v>
      </c>
      <c r="D8" s="30" t="s">
        <v>16</v>
      </c>
      <c r="H8" s="30">
        <f>INDEX(пред!$A$1:$F$222,MATCH(итог!A8,пред!$A$1:$A$222,0),4)</f>
        <v>4</v>
      </c>
      <c r="I8" s="30" t="s">
        <v>22</v>
      </c>
      <c r="J8" s="30" t="s">
        <v>16</v>
      </c>
      <c r="L8" s="30">
        <v>46</v>
      </c>
      <c r="M8" s="30">
        <f>INDEX(защ!$A$1:$H$218,MATCH(итог!A8,защ!$A$1:$A$218,0),4)</f>
        <v>5</v>
      </c>
    </row>
    <row r="9" spans="1:13" ht="42.75">
      <c r="A9" s="30" t="s">
        <v>23</v>
      </c>
      <c r="B9" s="30">
        <v>401</v>
      </c>
      <c r="C9" s="30" t="s">
        <v>24</v>
      </c>
      <c r="D9" s="30" t="s">
        <v>25</v>
      </c>
      <c r="E9" s="30" t="s">
        <v>26</v>
      </c>
      <c r="H9" s="30">
        <f>INDEX(пред!$A$1:$F$222,MATCH(итог!A9,пред!$A$1:$A$222,0),4)</f>
        <v>4</v>
      </c>
      <c r="I9" s="30" t="s">
        <v>24</v>
      </c>
      <c r="J9" s="30" t="s">
        <v>25</v>
      </c>
      <c r="L9" s="30">
        <v>84</v>
      </c>
      <c r="M9" s="30">
        <f>INDEX(защ!$A$1:$H$218,MATCH(итог!A9,защ!$A$1:$A$218,0),4)</f>
        <v>5</v>
      </c>
    </row>
    <row r="10" spans="1:13" ht="42.75">
      <c r="A10" s="30" t="s">
        <v>27</v>
      </c>
      <c r="B10" s="30">
        <v>401</v>
      </c>
      <c r="C10" s="30" t="s">
        <v>28</v>
      </c>
      <c r="D10" s="30" t="s">
        <v>29</v>
      </c>
      <c r="E10" s="30" t="s">
        <v>30</v>
      </c>
      <c r="H10" s="30">
        <f>INDEX(пред!$A$1:$F$222,MATCH(итог!A10,пред!$A$1:$A$222,0),4)</f>
        <v>4</v>
      </c>
      <c r="I10" s="30" t="s">
        <v>28</v>
      </c>
      <c r="J10" s="30" t="s">
        <v>29</v>
      </c>
      <c r="L10" s="30">
        <v>113</v>
      </c>
      <c r="M10" s="30">
        <f>INDEX(защ!$A$1:$H$218,MATCH(итог!A10,защ!$A$1:$A$218,0),4)</f>
        <v>4</v>
      </c>
    </row>
    <row r="11" spans="1:13" ht="42.75">
      <c r="A11" s="30" t="s">
        <v>31</v>
      </c>
      <c r="B11" s="30">
        <v>401</v>
      </c>
      <c r="C11" s="30" t="s">
        <v>32</v>
      </c>
      <c r="D11" s="30" t="s">
        <v>33</v>
      </c>
      <c r="H11" s="30">
        <f>INDEX(пред!$A$1:$F$222,MATCH(итог!A11,пред!$A$1:$A$222,0),4)</f>
        <v>3</v>
      </c>
      <c r="I11" s="30" t="s">
        <v>32</v>
      </c>
      <c r="J11" s="30" t="s">
        <v>33</v>
      </c>
      <c r="L11" s="30">
        <v>44</v>
      </c>
      <c r="M11" s="30">
        <f>INDEX(защ!$A$1:$H$218,MATCH(итог!A11,защ!$A$1:$A$218,0),4)</f>
        <v>3</v>
      </c>
    </row>
    <row r="12" spans="1:13" ht="42.75">
      <c r="A12" s="30" t="s">
        <v>34</v>
      </c>
      <c r="B12" s="30">
        <v>401</v>
      </c>
      <c r="C12" s="30" t="s">
        <v>35</v>
      </c>
      <c r="D12" s="30" t="s">
        <v>304</v>
      </c>
      <c r="H12" s="30">
        <f>INDEX(пред!$A$1:$F$222,MATCH(итог!A12,пред!$A$1:$A$222,0),4)</f>
        <v>4</v>
      </c>
      <c r="I12" s="30" t="s">
        <v>35</v>
      </c>
      <c r="J12" s="30" t="s">
        <v>304</v>
      </c>
      <c r="L12" s="30">
        <v>50</v>
      </c>
      <c r="M12" s="30">
        <f>INDEX(защ!$A$1:$H$218,MATCH(итог!A12,защ!$A$1:$A$218,0),4)</f>
        <v>5</v>
      </c>
    </row>
    <row r="13" spans="1:13" ht="42.75">
      <c r="A13" s="30" t="s">
        <v>36</v>
      </c>
      <c r="B13" s="30">
        <v>401</v>
      </c>
      <c r="C13" s="30" t="s">
        <v>37</v>
      </c>
      <c r="D13" s="30" t="s">
        <v>38</v>
      </c>
      <c r="G13" s="30" t="s">
        <v>596</v>
      </c>
      <c r="H13" s="30" t="e">
        <f>INDEX(пред!$A$1:$F$222,MATCH(итог!A13,пред!$A$1:$A$222,0),4)</f>
        <v>#N/A</v>
      </c>
      <c r="I13" s="30" t="s">
        <v>35</v>
      </c>
      <c r="J13" s="30" t="s">
        <v>304</v>
      </c>
      <c r="M13" s="30" t="e">
        <f>INDEX(защ!$A$1:$H$218,MATCH(итог!A13,защ!$A$1:$A$218,0),4)</f>
        <v>#N/A</v>
      </c>
    </row>
    <row r="14" spans="1:13" ht="28.5">
      <c r="A14" s="30" t="s">
        <v>39</v>
      </c>
      <c r="B14" s="30">
        <v>401</v>
      </c>
      <c r="C14" s="30" t="s">
        <v>40</v>
      </c>
      <c r="D14" s="30" t="s">
        <v>41</v>
      </c>
      <c r="H14" s="30">
        <f>INDEX(пред!$A$1:$F$222,MATCH(итог!A14,пред!$A$1:$A$222,0),4)</f>
        <v>4</v>
      </c>
      <c r="I14" s="30" t="s">
        <v>40</v>
      </c>
      <c r="J14" s="30" t="s">
        <v>41</v>
      </c>
      <c r="L14" s="30">
        <v>58</v>
      </c>
      <c r="M14" s="30">
        <f>INDEX(защ!$A$1:$H$218,MATCH(итог!A14,защ!$A$1:$A$218,0),4)</f>
        <v>5</v>
      </c>
    </row>
    <row r="15" spans="1:13" ht="28.5">
      <c r="A15" s="30" t="s">
        <v>42</v>
      </c>
      <c r="B15" s="30">
        <v>401</v>
      </c>
      <c r="C15" s="30" t="s">
        <v>43</v>
      </c>
      <c r="D15" s="30" t="s">
        <v>11</v>
      </c>
      <c r="H15" s="30">
        <f>INDEX(пред!$A$1:$F$222,MATCH(итог!A15,пред!$A$1:$A$222,0),4)</f>
        <v>5</v>
      </c>
      <c r="I15" s="30" t="s">
        <v>43</v>
      </c>
      <c r="J15" s="30" t="s">
        <v>11</v>
      </c>
      <c r="L15" s="30">
        <v>42</v>
      </c>
      <c r="M15" s="30">
        <f>INDEX(защ!$A$1:$H$218,MATCH(итог!A15,защ!$A$1:$A$218,0),4)</f>
        <v>5</v>
      </c>
    </row>
    <row r="16" spans="1:13" ht="42.75">
      <c r="A16" s="30" t="s">
        <v>44</v>
      </c>
      <c r="B16" s="30">
        <v>401</v>
      </c>
      <c r="C16" s="30" t="s">
        <v>45</v>
      </c>
      <c r="D16" s="30" t="s">
        <v>46</v>
      </c>
      <c r="H16" s="30">
        <f>INDEX(пред!$A$1:$F$222,MATCH(итог!A16,пред!$A$1:$A$222,0),4)</f>
        <v>5</v>
      </c>
      <c r="I16" s="30" t="s">
        <v>45</v>
      </c>
      <c r="J16" s="30" t="s">
        <v>46</v>
      </c>
      <c r="L16" s="30">
        <v>51</v>
      </c>
      <c r="M16" s="30">
        <f>INDEX(защ!$A$1:$H$218,MATCH(итог!A16,защ!$A$1:$A$218,0),4)</f>
        <v>5</v>
      </c>
    </row>
    <row r="17" spans="1:13" ht="28.5">
      <c r="A17" s="30" t="s">
        <v>47</v>
      </c>
      <c r="B17" s="30">
        <v>401</v>
      </c>
      <c r="C17" s="30" t="s">
        <v>48</v>
      </c>
      <c r="D17" s="30" t="s">
        <v>11</v>
      </c>
      <c r="H17" s="30">
        <f>INDEX(пред!$A$1:$F$222,MATCH(итог!A17,пред!$A$1:$A$222,0),4)</f>
        <v>4</v>
      </c>
      <c r="I17" s="30" t="s">
        <v>48</v>
      </c>
      <c r="J17" s="30" t="s">
        <v>11</v>
      </c>
      <c r="L17" s="30">
        <v>41</v>
      </c>
      <c r="M17" s="30">
        <f>INDEX(защ!$A$1:$H$218,MATCH(итог!A17,защ!$A$1:$A$218,0),4)</f>
        <v>5</v>
      </c>
    </row>
    <row r="18" spans="1:13" ht="42.75">
      <c r="A18" s="30" t="s">
        <v>49</v>
      </c>
      <c r="B18" s="30">
        <v>401</v>
      </c>
      <c r="C18" s="30" t="s">
        <v>305</v>
      </c>
      <c r="D18" s="30" t="s">
        <v>46</v>
      </c>
      <c r="H18" s="30">
        <f>INDEX(пред!$A$1:$F$222,MATCH(итог!A18,пред!$A$1:$A$222,0),4)</f>
        <v>4</v>
      </c>
      <c r="I18" s="30" t="s">
        <v>305</v>
      </c>
      <c r="J18" s="30" t="s">
        <v>46</v>
      </c>
      <c r="L18" s="30">
        <v>72</v>
      </c>
      <c r="M18" s="30">
        <f>INDEX(защ!$A$1:$H$218,MATCH(итог!A18,защ!$A$1:$A$218,0),4)</f>
        <v>4</v>
      </c>
    </row>
    <row r="19" spans="1:13" ht="28.5">
      <c r="A19" s="30" t="s">
        <v>50</v>
      </c>
      <c r="B19" s="30">
        <v>401</v>
      </c>
      <c r="C19" s="30" t="s">
        <v>51</v>
      </c>
      <c r="D19" s="30" t="s">
        <v>8</v>
      </c>
      <c r="H19" s="30" t="e">
        <f>INDEX(пред!$A$1:$F$222,MATCH(итог!A19,пред!$A$1:$A$222,0),4)</f>
        <v>#N/A</v>
      </c>
      <c r="I19" s="30" t="s">
        <v>51</v>
      </c>
      <c r="J19" s="30" t="s">
        <v>8</v>
      </c>
      <c r="L19" s="30">
        <v>35</v>
      </c>
      <c r="M19" s="30">
        <f>INDEX(защ!$A$1:$H$218,MATCH(итог!A19,защ!$A$1:$A$218,0),4)</f>
        <v>5</v>
      </c>
    </row>
    <row r="20" spans="1:13" ht="42.75">
      <c r="A20" s="30" t="s">
        <v>52</v>
      </c>
      <c r="B20" s="30">
        <v>401</v>
      </c>
      <c r="C20" s="30" t="s">
        <v>53</v>
      </c>
      <c r="D20" s="30" t="s">
        <v>54</v>
      </c>
      <c r="E20" s="30" t="s">
        <v>29</v>
      </c>
      <c r="H20" s="30">
        <f>INDEX(пред!$A$1:$F$222,MATCH(итог!A20,пред!$A$1:$A$222,0),4)</f>
        <v>4</v>
      </c>
      <c r="I20" s="30" t="s">
        <v>53</v>
      </c>
      <c r="J20" s="30" t="s">
        <v>54</v>
      </c>
      <c r="L20" s="30">
        <v>51</v>
      </c>
      <c r="M20" s="30">
        <f>INDEX(защ!$A$1:$H$218,MATCH(итог!A20,защ!$A$1:$A$218,0),4)</f>
        <v>4</v>
      </c>
    </row>
    <row r="21" spans="1:13" ht="42.75">
      <c r="A21" s="30" t="s">
        <v>55</v>
      </c>
      <c r="B21" s="30">
        <v>401</v>
      </c>
      <c r="C21" s="30" t="s">
        <v>56</v>
      </c>
      <c r="D21" s="30" t="s">
        <v>306</v>
      </c>
      <c r="H21" s="30" t="e">
        <f>INDEX(пред!$A$1:$F$222,MATCH(итог!A21,пред!$A$1:$A$222,0),4)</f>
        <v>#N/A</v>
      </c>
      <c r="I21" s="30" t="s">
        <v>56</v>
      </c>
      <c r="J21" s="30" t="s">
        <v>306</v>
      </c>
      <c r="L21" s="30">
        <v>47</v>
      </c>
      <c r="M21" s="30">
        <f>INDEX(защ!$A$1:$H$218,MATCH(итог!A21,защ!$A$1:$A$218,0),4)</f>
        <v>4</v>
      </c>
    </row>
    <row r="22" spans="1:13" ht="71.25">
      <c r="A22" s="30" t="s">
        <v>57</v>
      </c>
      <c r="B22" s="30">
        <v>401</v>
      </c>
      <c r="C22" s="30" t="s">
        <v>58</v>
      </c>
      <c r="D22" s="30" t="s">
        <v>59</v>
      </c>
      <c r="E22" s="30" t="s">
        <v>324</v>
      </c>
      <c r="H22" s="30">
        <f>INDEX(пред!$A$1:$F$222,MATCH(итог!A22,пред!$A$1:$A$222,0),4)</f>
        <v>3</v>
      </c>
      <c r="I22" s="30" t="s">
        <v>58</v>
      </c>
      <c r="J22" s="30" t="s">
        <v>59</v>
      </c>
      <c r="L22" s="30">
        <v>47</v>
      </c>
      <c r="M22" s="30">
        <f>INDEX(защ!$A$1:$H$218,MATCH(итог!A22,защ!$A$1:$A$218,0),4)</f>
        <v>4</v>
      </c>
    </row>
    <row r="23" spans="1:13" ht="42.75">
      <c r="A23" s="30" t="s">
        <v>61</v>
      </c>
      <c r="B23" s="30">
        <v>401</v>
      </c>
      <c r="C23" s="30" t="s">
        <v>62</v>
      </c>
      <c r="D23" s="30" t="s">
        <v>308</v>
      </c>
      <c r="H23" s="30">
        <f>INDEX(пред!$A$1:$F$222,MATCH(итог!A23,пред!$A$1:$A$222,0),4)</f>
        <v>4</v>
      </c>
      <c r="I23" s="30" t="s">
        <v>62</v>
      </c>
      <c r="J23" s="30" t="s">
        <v>308</v>
      </c>
      <c r="L23" s="30">
        <v>53</v>
      </c>
      <c r="M23" s="30">
        <f>INDEX(защ!$A$1:$H$218,MATCH(итог!A23,защ!$A$1:$A$218,0),4)</f>
        <v>5</v>
      </c>
    </row>
    <row r="24" spans="1:13" ht="42.75">
      <c r="A24" s="30" t="s">
        <v>63</v>
      </c>
      <c r="B24" s="30">
        <v>401</v>
      </c>
      <c r="C24" s="30" t="s">
        <v>64</v>
      </c>
      <c r="D24" s="30" t="s">
        <v>309</v>
      </c>
      <c r="H24" s="30">
        <f>INDEX(пред!$A$1:$F$222,MATCH(итог!A24,пред!$A$1:$A$222,0),4)</f>
        <v>4</v>
      </c>
      <c r="I24" s="30" t="s">
        <v>64</v>
      </c>
      <c r="J24" s="30" t="s">
        <v>309</v>
      </c>
      <c r="L24" s="30">
        <v>42</v>
      </c>
      <c r="M24" s="30">
        <f>INDEX(защ!$A$1:$H$218,MATCH(итог!A24,защ!$A$1:$A$218,0),4)</f>
        <v>5</v>
      </c>
    </row>
    <row r="25" spans="1:13" ht="57">
      <c r="A25" s="30" t="s">
        <v>65</v>
      </c>
      <c r="B25" s="30">
        <v>401</v>
      </c>
      <c r="C25" s="30" t="s">
        <v>66</v>
      </c>
      <c r="D25" s="30" t="s">
        <v>310</v>
      </c>
      <c r="H25" s="30">
        <f>INDEX(пред!$A$1:$F$222,MATCH(итог!A25,пред!$A$1:$A$222,0),4)</f>
        <v>4</v>
      </c>
      <c r="I25" s="30" t="s">
        <v>66</v>
      </c>
      <c r="J25" s="30" t="s">
        <v>310</v>
      </c>
      <c r="L25" s="30">
        <v>67</v>
      </c>
      <c r="M25" s="30">
        <f>INDEX(защ!$A$1:$H$218,MATCH(итог!A25,защ!$A$1:$A$218,0),4)</f>
        <v>5</v>
      </c>
    </row>
    <row r="26" spans="1:13" ht="57">
      <c r="A26" s="30" t="s">
        <v>67</v>
      </c>
      <c r="B26" s="30">
        <v>406</v>
      </c>
      <c r="C26" s="30" t="s">
        <v>311</v>
      </c>
      <c r="D26" s="30" t="s">
        <v>304</v>
      </c>
      <c r="H26" s="30">
        <f>INDEX(пред!$A$1:$F$222,MATCH(итог!A26,пред!$A$1:$A$222,0),4)</f>
        <v>3</v>
      </c>
      <c r="I26" s="30" t="s">
        <v>311</v>
      </c>
      <c r="J26" s="30" t="s">
        <v>304</v>
      </c>
      <c r="L26" s="30">
        <v>42</v>
      </c>
      <c r="M26" s="30">
        <f>INDEX(защ!$A$1:$H$218,MATCH(итог!A26,защ!$A$1:$A$218,0),4)</f>
        <v>5</v>
      </c>
    </row>
    <row r="27" spans="1:13" ht="28.5">
      <c r="A27" s="30" t="s">
        <v>68</v>
      </c>
      <c r="B27" s="30">
        <v>406</v>
      </c>
      <c r="C27" s="30" t="s">
        <v>69</v>
      </c>
      <c r="D27" s="30" t="s">
        <v>41</v>
      </c>
      <c r="H27" s="30">
        <f>INDEX(пред!$A$1:$F$222,MATCH(итог!A27,пред!$A$1:$A$222,0),4)</f>
        <v>4</v>
      </c>
      <c r="I27" s="30" t="s">
        <v>69</v>
      </c>
      <c r="J27" s="30" t="s">
        <v>41</v>
      </c>
      <c r="L27" s="30">
        <v>46</v>
      </c>
      <c r="M27" s="30">
        <f>INDEX(защ!$A$1:$H$218,MATCH(итог!A27,защ!$A$1:$A$218,0),4)</f>
        <v>5</v>
      </c>
    </row>
    <row r="28" spans="1:13" ht="28.5">
      <c r="A28" s="30" t="s">
        <v>70</v>
      </c>
      <c r="B28" s="30">
        <v>406</v>
      </c>
      <c r="C28" s="30" t="s">
        <v>71</v>
      </c>
      <c r="D28" s="30" t="s">
        <v>16</v>
      </c>
      <c r="H28" s="30">
        <f>INDEX(пред!$A$1:$F$222,MATCH(итог!A28,пред!$A$1:$A$222,0),4)</f>
        <v>3</v>
      </c>
      <c r="I28" s="30" t="s">
        <v>71</v>
      </c>
      <c r="J28" s="30" t="s">
        <v>16</v>
      </c>
      <c r="L28" s="30">
        <v>45</v>
      </c>
      <c r="M28" s="30">
        <f>INDEX(защ!$A$1:$H$218,MATCH(итог!A28,защ!$A$1:$A$218,0),4)</f>
        <v>4</v>
      </c>
    </row>
    <row r="29" spans="1:13" ht="28.5">
      <c r="A29" s="30" t="s">
        <v>72</v>
      </c>
      <c r="B29" s="30">
        <v>406</v>
      </c>
      <c r="C29" s="30" t="s">
        <v>73</v>
      </c>
      <c r="D29" s="30" t="s">
        <v>74</v>
      </c>
      <c r="H29" s="30">
        <f>INDEX(пред!$A$1:$F$222,MATCH(итог!A29,пред!$A$1:$A$222,0),4)</f>
        <v>3</v>
      </c>
      <c r="I29" s="30" t="s">
        <v>73</v>
      </c>
      <c r="J29" s="30" t="s">
        <v>74</v>
      </c>
      <c r="L29" s="30">
        <v>61</v>
      </c>
      <c r="M29" s="30">
        <f>INDEX(защ!$A$1:$H$218,MATCH(итог!A29,защ!$A$1:$A$218,0),4)</f>
        <v>4</v>
      </c>
    </row>
    <row r="30" spans="1:13" ht="42.75">
      <c r="A30" s="30" t="s">
        <v>75</v>
      </c>
      <c r="B30" s="30">
        <v>406</v>
      </c>
      <c r="C30" s="30" t="s">
        <v>312</v>
      </c>
      <c r="D30" s="30" t="s">
        <v>8</v>
      </c>
      <c r="H30" s="30">
        <f>INDEX(пред!$A$1:$F$222,MATCH(итог!A30,пред!$A$1:$A$222,0),4)</f>
        <v>5</v>
      </c>
      <c r="I30" s="30" t="s">
        <v>312</v>
      </c>
      <c r="J30" s="30" t="s">
        <v>8</v>
      </c>
      <c r="L30" s="30">
        <v>42</v>
      </c>
      <c r="M30" s="30">
        <f>INDEX(защ!$A$1:$H$218,MATCH(итог!A30,защ!$A$1:$A$218,0),4)</f>
        <v>5</v>
      </c>
    </row>
    <row r="31" spans="1:13" ht="28.5">
      <c r="A31" s="30" t="s">
        <v>76</v>
      </c>
      <c r="B31" s="30">
        <v>406</v>
      </c>
      <c r="C31" s="30" t="s">
        <v>77</v>
      </c>
      <c r="D31" s="30" t="s">
        <v>11</v>
      </c>
      <c r="H31" s="30">
        <f>INDEX(пред!$A$1:$F$222,MATCH(итог!A31,пред!$A$1:$A$222,0),4)</f>
        <v>5</v>
      </c>
      <c r="I31" s="30" t="s">
        <v>77</v>
      </c>
      <c r="J31" s="30" t="s">
        <v>11</v>
      </c>
      <c r="L31" s="30">
        <v>41</v>
      </c>
      <c r="M31" s="30">
        <f>INDEX(защ!$A$1:$H$218,MATCH(итог!A31,защ!$A$1:$A$218,0),4)</f>
        <v>5</v>
      </c>
    </row>
    <row r="32" spans="1:13" ht="28.5">
      <c r="A32" s="30" t="s">
        <v>78</v>
      </c>
      <c r="B32" s="30">
        <v>406</v>
      </c>
      <c r="C32" s="30" t="s">
        <v>79</v>
      </c>
      <c r="D32" s="30" t="s">
        <v>80</v>
      </c>
      <c r="H32" s="30">
        <f>INDEX(пред!$A$1:$F$222,MATCH(итог!A32,пред!$A$1:$A$222,0),4)</f>
        <v>4</v>
      </c>
      <c r="I32" s="30" t="s">
        <v>79</v>
      </c>
      <c r="J32" s="30" t="s">
        <v>80</v>
      </c>
      <c r="L32" s="30">
        <v>67</v>
      </c>
      <c r="M32" s="30">
        <f>INDEX(защ!$A$1:$H$218,MATCH(итог!A32,защ!$A$1:$A$218,0),4)</f>
        <v>4</v>
      </c>
    </row>
    <row r="33" spans="1:13" ht="42.75">
      <c r="A33" s="30" t="s">
        <v>81</v>
      </c>
      <c r="B33" s="30">
        <v>406</v>
      </c>
      <c r="C33" s="30" t="s">
        <v>82</v>
      </c>
      <c r="D33" s="30" t="s">
        <v>11</v>
      </c>
      <c r="H33" s="30">
        <f>INDEX(пред!$A$1:$F$222,MATCH(итог!A33,пред!$A$1:$A$222,0),4)</f>
        <v>4</v>
      </c>
      <c r="I33" s="30" t="s">
        <v>82</v>
      </c>
      <c r="J33" s="30" t="s">
        <v>11</v>
      </c>
      <c r="L33" s="30">
        <v>62</v>
      </c>
      <c r="M33" s="30">
        <f>INDEX(защ!$A$1:$H$218,MATCH(итог!A33,защ!$A$1:$A$218,0),4)</f>
        <v>4</v>
      </c>
    </row>
    <row r="34" spans="1:13" ht="42.75">
      <c r="A34" s="30" t="s">
        <v>83</v>
      </c>
      <c r="B34" s="30">
        <v>406</v>
      </c>
      <c r="C34" s="30" t="s">
        <v>84</v>
      </c>
      <c r="D34" s="30" t="s">
        <v>25</v>
      </c>
      <c r="E34" s="30" t="s">
        <v>26</v>
      </c>
      <c r="H34" s="30">
        <f>INDEX(пред!$A$1:$F$222,MATCH(итог!A34,пред!$A$1:$A$222,0),4)</f>
        <v>5</v>
      </c>
      <c r="I34" s="30" t="s">
        <v>84</v>
      </c>
      <c r="J34" s="30" t="s">
        <v>25</v>
      </c>
      <c r="L34" s="30">
        <v>49</v>
      </c>
      <c r="M34" s="30">
        <f>INDEX(защ!$A$1:$H$218,MATCH(итог!A34,защ!$A$1:$A$218,0),4)</f>
        <v>5</v>
      </c>
    </row>
    <row r="35" spans="1:13" ht="28.5">
      <c r="A35" s="30" t="s">
        <v>85</v>
      </c>
      <c r="B35" s="30">
        <v>406</v>
      </c>
      <c r="C35" s="30" t="s">
        <v>86</v>
      </c>
      <c r="D35" s="30" t="s">
        <v>8</v>
      </c>
      <c r="H35" s="30">
        <f>INDEX(пред!$A$1:$F$222,MATCH(итог!A35,пред!$A$1:$A$222,0),4)</f>
        <v>4</v>
      </c>
      <c r="I35" s="30" t="s">
        <v>86</v>
      </c>
      <c r="J35" s="30" t="s">
        <v>8</v>
      </c>
      <c r="L35" s="30">
        <v>48</v>
      </c>
      <c r="M35" s="30">
        <f>INDEX(защ!$A$1:$H$218,MATCH(итог!A35,защ!$A$1:$A$218,0),4)</f>
        <v>5</v>
      </c>
    </row>
    <row r="36" spans="1:13" ht="42.75">
      <c r="A36" s="30" t="s">
        <v>87</v>
      </c>
      <c r="B36" s="30">
        <v>406</v>
      </c>
      <c r="C36" s="30" t="s">
        <v>88</v>
      </c>
      <c r="D36" s="30" t="s">
        <v>89</v>
      </c>
      <c r="E36" s="30" t="s">
        <v>74</v>
      </c>
      <c r="H36" s="30">
        <f>INDEX(пред!$A$1:$F$222,MATCH(итог!A36,пред!$A$1:$A$222,0),4)</f>
        <v>5</v>
      </c>
      <c r="I36" s="30" t="s">
        <v>88</v>
      </c>
      <c r="J36" s="30" t="s">
        <v>89</v>
      </c>
      <c r="L36" s="30">
        <v>61</v>
      </c>
      <c r="M36" s="30">
        <f>INDEX(защ!$A$1:$H$218,MATCH(итог!A36,защ!$A$1:$A$218,0),4)</f>
        <v>5</v>
      </c>
    </row>
    <row r="37" spans="1:13" ht="42.75">
      <c r="A37" s="30" t="s">
        <v>90</v>
      </c>
      <c r="B37" s="30">
        <v>406</v>
      </c>
      <c r="C37" s="30" t="s">
        <v>91</v>
      </c>
      <c r="D37" s="30" t="s">
        <v>92</v>
      </c>
      <c r="H37" s="30">
        <f>INDEX(пред!$A$1:$F$222,MATCH(итог!A37,пред!$A$1:$A$222,0),4)</f>
        <v>5</v>
      </c>
      <c r="I37" s="30" t="s">
        <v>91</v>
      </c>
      <c r="J37" s="30" t="s">
        <v>92</v>
      </c>
      <c r="L37" s="30">
        <v>56</v>
      </c>
      <c r="M37" s="30">
        <f>INDEX(защ!$A$1:$H$218,MATCH(итог!A37,защ!$A$1:$A$218,0),4)</f>
        <v>5</v>
      </c>
    </row>
    <row r="38" spans="1:13" ht="71.25">
      <c r="A38" s="30" t="s">
        <v>93</v>
      </c>
      <c r="B38" s="30">
        <v>406</v>
      </c>
      <c r="C38" s="30" t="s">
        <v>94</v>
      </c>
      <c r="D38" s="30" t="s">
        <v>29</v>
      </c>
      <c r="E38" s="30" t="s">
        <v>324</v>
      </c>
      <c r="H38" s="30">
        <f>INDEX(пред!$A$1:$F$222,MATCH(итог!A38,пред!$A$1:$A$222,0),4)</f>
        <v>4</v>
      </c>
      <c r="I38" s="30" t="s">
        <v>94</v>
      </c>
      <c r="J38" s="30" t="s">
        <v>29</v>
      </c>
      <c r="L38" s="30">
        <v>59</v>
      </c>
      <c r="M38" s="30">
        <f>INDEX(защ!$A$1:$H$218,MATCH(итог!A38,защ!$A$1:$A$218,0),4)</f>
        <v>4</v>
      </c>
    </row>
    <row r="39" spans="1:13" ht="71.25">
      <c r="A39" s="30" t="s">
        <v>95</v>
      </c>
      <c r="B39" s="30">
        <v>406</v>
      </c>
      <c r="C39" s="30" t="s">
        <v>96</v>
      </c>
      <c r="D39" s="30" t="s">
        <v>59</v>
      </c>
      <c r="E39" s="30" t="s">
        <v>324</v>
      </c>
      <c r="H39" s="30">
        <f>INDEX(пред!$A$1:$F$222,MATCH(итог!A39,пред!$A$1:$A$222,0),4)</f>
        <v>3</v>
      </c>
      <c r="I39" s="30" t="s">
        <v>96</v>
      </c>
      <c r="J39" s="30" t="s">
        <v>59</v>
      </c>
      <c r="L39" s="30">
        <v>45</v>
      </c>
      <c r="M39" s="30">
        <f>INDEX(защ!$A$1:$H$218,MATCH(итог!A39,защ!$A$1:$A$218,0),4)</f>
        <v>4</v>
      </c>
    </row>
    <row r="40" spans="1:13" ht="42.75">
      <c r="A40" s="30" t="s">
        <v>97</v>
      </c>
      <c r="B40" s="30">
        <v>406</v>
      </c>
      <c r="C40" s="30" t="s">
        <v>313</v>
      </c>
      <c r="D40" s="30" t="s">
        <v>89</v>
      </c>
      <c r="E40" s="30" t="s">
        <v>29</v>
      </c>
      <c r="H40" s="30">
        <f>INDEX(пред!$A$1:$F$222,MATCH(итог!A40,пред!$A$1:$A$222,0),4)</f>
        <v>3</v>
      </c>
      <c r="I40" s="30" t="s">
        <v>313</v>
      </c>
      <c r="J40" s="30" t="s">
        <v>89</v>
      </c>
      <c r="L40" s="30">
        <v>40</v>
      </c>
      <c r="M40" s="30">
        <f>INDEX(защ!$A$1:$H$218,MATCH(итог!A40,защ!$A$1:$A$218,0),4)</f>
        <v>5</v>
      </c>
    </row>
    <row r="41" spans="1:13" ht="28.5">
      <c r="A41" s="30" t="s">
        <v>98</v>
      </c>
      <c r="B41" s="30">
        <v>406</v>
      </c>
      <c r="C41" s="30" t="s">
        <v>99</v>
      </c>
      <c r="D41" s="30" t="s">
        <v>100</v>
      </c>
      <c r="H41" s="30">
        <f>INDEX(пред!$A$1:$F$222,MATCH(итог!A41,пред!$A$1:$A$222,0),4)</f>
        <v>4</v>
      </c>
      <c r="I41" s="30" t="s">
        <v>99</v>
      </c>
      <c r="J41" s="30" t="s">
        <v>100</v>
      </c>
      <c r="L41" s="30">
        <v>54</v>
      </c>
      <c r="M41" s="30">
        <f>INDEX(защ!$A$1:$H$218,MATCH(итог!A41,защ!$A$1:$A$218,0),4)</f>
        <v>4</v>
      </c>
    </row>
    <row r="42" spans="1:13" ht="42.75">
      <c r="A42" s="30" t="s">
        <v>101</v>
      </c>
      <c r="B42" s="30">
        <v>406</v>
      </c>
      <c r="C42" s="30" t="s">
        <v>102</v>
      </c>
      <c r="D42" s="30" t="s">
        <v>100</v>
      </c>
      <c r="H42" s="30">
        <f>INDEX(пред!$A$1:$F$222,MATCH(итог!A42,пред!$A$1:$A$222,0),4)</f>
        <v>4</v>
      </c>
      <c r="I42" s="30" t="s">
        <v>102</v>
      </c>
      <c r="J42" s="30" t="s">
        <v>100</v>
      </c>
      <c r="L42" s="30">
        <v>55</v>
      </c>
      <c r="M42" s="30">
        <f>INDEX(защ!$A$1:$H$218,MATCH(итог!A42,защ!$A$1:$A$218,0),4)</f>
        <v>5</v>
      </c>
    </row>
    <row r="43" spans="1:13" ht="42.75">
      <c r="A43" s="30" t="s">
        <v>103</v>
      </c>
      <c r="B43" s="30">
        <v>406</v>
      </c>
      <c r="C43" s="30" t="s">
        <v>104</v>
      </c>
      <c r="D43" s="30" t="s">
        <v>29</v>
      </c>
      <c r="H43" s="30">
        <f>INDEX(пред!$A$1:$F$222,MATCH(итог!A43,пред!$A$1:$A$222,0),4)</f>
        <v>5</v>
      </c>
      <c r="I43" s="30" t="s">
        <v>104</v>
      </c>
      <c r="J43" s="30" t="s">
        <v>29</v>
      </c>
      <c r="L43" s="30">
        <v>96</v>
      </c>
      <c r="M43" s="30">
        <f>INDEX(защ!$A$1:$H$218,MATCH(итог!A43,защ!$A$1:$A$218,0),4)</f>
        <v>4</v>
      </c>
    </row>
    <row r="44" spans="1:13" ht="71.25">
      <c r="A44" s="30" t="s">
        <v>105</v>
      </c>
      <c r="B44" s="30">
        <v>406</v>
      </c>
      <c r="C44" s="30" t="s">
        <v>314</v>
      </c>
      <c r="D44" s="30" t="s">
        <v>89</v>
      </c>
      <c r="E44" s="30" t="s">
        <v>106</v>
      </c>
      <c r="H44" s="30">
        <f>INDEX(пред!$A$1:$F$222,MATCH(итог!A44,пред!$A$1:$A$222,0),4)</f>
        <v>4</v>
      </c>
      <c r="I44" s="30" t="s">
        <v>314</v>
      </c>
      <c r="J44" s="30" t="s">
        <v>89</v>
      </c>
      <c r="L44" s="30">
        <v>72</v>
      </c>
      <c r="M44" s="30">
        <f>INDEX(защ!$A$1:$H$218,MATCH(итог!A44,защ!$A$1:$A$218,0),4)</f>
        <v>5</v>
      </c>
    </row>
    <row r="45" spans="1:13" ht="28.5">
      <c r="A45" s="30" t="s">
        <v>107</v>
      </c>
      <c r="B45" s="30">
        <v>406</v>
      </c>
      <c r="C45" s="30" t="s">
        <v>108</v>
      </c>
      <c r="D45" s="30" t="s">
        <v>100</v>
      </c>
      <c r="H45" s="30">
        <f>INDEX(пред!$A$1:$F$222,MATCH(итог!A45,пред!$A$1:$A$222,0),4)</f>
        <v>3</v>
      </c>
      <c r="I45" s="30" t="s">
        <v>108</v>
      </c>
      <c r="J45" s="30" t="s">
        <v>100</v>
      </c>
      <c r="L45" s="30">
        <v>68</v>
      </c>
      <c r="M45" s="30">
        <f>INDEX(защ!$A$1:$H$218,MATCH(итог!A45,защ!$A$1:$A$218,0),4)</f>
        <v>5</v>
      </c>
    </row>
    <row r="46" spans="1:13" ht="71.25">
      <c r="A46" s="30" t="s">
        <v>109</v>
      </c>
      <c r="B46" s="30">
        <v>406</v>
      </c>
      <c r="C46" s="30" t="s">
        <v>110</v>
      </c>
      <c r="D46" s="30" t="s">
        <v>8</v>
      </c>
      <c r="E46" s="30" t="s">
        <v>324</v>
      </c>
      <c r="H46" s="30">
        <f>INDEX(пред!$A$1:$F$222,MATCH(итог!A46,пред!$A$1:$A$222,0),4)</f>
        <v>4</v>
      </c>
      <c r="I46" s="30" t="s">
        <v>110</v>
      </c>
      <c r="J46" s="30" t="s">
        <v>8</v>
      </c>
      <c r="L46" s="30">
        <v>43</v>
      </c>
      <c r="M46" s="30">
        <f>INDEX(защ!$A$1:$H$218,MATCH(итог!A46,защ!$A$1:$A$218,0),4)</f>
        <v>5</v>
      </c>
    </row>
    <row r="47" spans="1:13" ht="28.5">
      <c r="A47" s="30" t="s">
        <v>111</v>
      </c>
      <c r="B47" s="30">
        <v>406</v>
      </c>
      <c r="C47" s="30" t="s">
        <v>112</v>
      </c>
      <c r="D47" s="30" t="s">
        <v>16</v>
      </c>
      <c r="H47" s="30">
        <f>INDEX(пред!$A$1:$F$222,MATCH(итог!A47,пред!$A$1:$A$222,0),4)</f>
        <v>5</v>
      </c>
      <c r="I47" s="30" t="s">
        <v>112</v>
      </c>
      <c r="J47" s="30" t="s">
        <v>16</v>
      </c>
      <c r="L47" s="30">
        <v>55</v>
      </c>
      <c r="M47" s="30">
        <f>INDEX(защ!$A$1:$H$218,MATCH(итог!A47,защ!$A$1:$A$218,0),4)</f>
        <v>4</v>
      </c>
    </row>
    <row r="48" spans="1:13" ht="28.5">
      <c r="A48" s="30" t="s">
        <v>113</v>
      </c>
      <c r="B48" s="30">
        <v>406</v>
      </c>
      <c r="C48" s="30" t="s">
        <v>114</v>
      </c>
      <c r="D48" s="30" t="s">
        <v>16</v>
      </c>
      <c r="H48" s="30">
        <f>INDEX(пред!$A$1:$F$222,MATCH(итог!A48,пред!$A$1:$A$222,0),4)</f>
        <v>4</v>
      </c>
      <c r="I48" s="30" t="s">
        <v>114</v>
      </c>
      <c r="J48" s="30" t="s">
        <v>16</v>
      </c>
      <c r="L48" s="30">
        <v>57</v>
      </c>
      <c r="M48" s="30">
        <f>INDEX(защ!$A$1:$H$218,MATCH(итог!A48,защ!$A$1:$A$218,0),4)</f>
        <v>5</v>
      </c>
    </row>
    <row r="49" spans="1:13" ht="28.5">
      <c r="A49" s="30" t="s">
        <v>115</v>
      </c>
      <c r="B49" s="30">
        <v>406</v>
      </c>
      <c r="C49" s="30" t="s">
        <v>116</v>
      </c>
      <c r="D49" s="30" t="s">
        <v>41</v>
      </c>
      <c r="H49" s="30">
        <f>INDEX(пред!$A$1:$F$222,MATCH(итог!A49,пред!$A$1:$A$222,0),4)</f>
        <v>5</v>
      </c>
      <c r="I49" s="30" t="s">
        <v>116</v>
      </c>
      <c r="J49" s="30" t="s">
        <v>41</v>
      </c>
      <c r="L49" s="30">
        <v>46</v>
      </c>
      <c r="M49" s="30">
        <f>INDEX(защ!$A$1:$H$218,MATCH(итог!A49,защ!$A$1:$A$218,0),4)</f>
        <v>5</v>
      </c>
    </row>
    <row r="50" spans="1:13" ht="28.5">
      <c r="A50" s="30" t="s">
        <v>117</v>
      </c>
      <c r="B50" s="30">
        <v>407</v>
      </c>
      <c r="C50" s="30" t="s">
        <v>118</v>
      </c>
      <c r="D50" s="30" t="s">
        <v>8</v>
      </c>
      <c r="H50" s="30">
        <f>INDEX(пред!$A$1:$F$222,MATCH(итог!A50,пред!$A$1:$A$222,0),4)</f>
        <v>5</v>
      </c>
      <c r="I50" s="30" t="s">
        <v>118</v>
      </c>
      <c r="J50" s="30" t="s">
        <v>8</v>
      </c>
      <c r="L50" s="30">
        <v>34</v>
      </c>
      <c r="M50" s="30">
        <f>INDEX(защ!$A$1:$H$218,MATCH(итог!A50,защ!$A$1:$A$218,0),4)</f>
        <v>5</v>
      </c>
    </row>
    <row r="51" spans="1:13" ht="28.5">
      <c r="A51" s="30" t="s">
        <v>119</v>
      </c>
      <c r="B51" s="30">
        <v>407</v>
      </c>
      <c r="C51" s="30" t="s">
        <v>120</v>
      </c>
      <c r="D51" s="30" t="s">
        <v>121</v>
      </c>
      <c r="H51" s="30">
        <f>INDEX(пред!$A$1:$F$222,MATCH(итог!A51,пред!$A$1:$A$222,0),4)</f>
        <v>4</v>
      </c>
      <c r="I51" s="30" t="s">
        <v>120</v>
      </c>
      <c r="J51" s="30" t="s">
        <v>121</v>
      </c>
      <c r="L51" s="30">
        <v>56</v>
      </c>
      <c r="M51" s="30">
        <f>INDEX(защ!$A$1:$H$218,MATCH(итог!A51,защ!$A$1:$A$218,0),4)</f>
        <v>5</v>
      </c>
    </row>
    <row r="52" spans="1:13" ht="28.5">
      <c r="A52" s="30" t="s">
        <v>122</v>
      </c>
      <c r="B52" s="30">
        <v>407</v>
      </c>
      <c r="C52" s="30" t="s">
        <v>123</v>
      </c>
      <c r="D52" s="30" t="s">
        <v>121</v>
      </c>
      <c r="H52" s="30">
        <f>INDEX(пред!$A$1:$F$222,MATCH(итог!A52,пред!$A$1:$A$222,0),4)</f>
        <v>5</v>
      </c>
      <c r="I52" s="30" t="s">
        <v>123</v>
      </c>
      <c r="J52" s="30" t="s">
        <v>121</v>
      </c>
      <c r="L52" s="30">
        <v>45</v>
      </c>
      <c r="M52" s="30">
        <f>INDEX(защ!$A$1:$H$218,MATCH(итог!A52,защ!$A$1:$A$218,0),4)</f>
        <v>5</v>
      </c>
    </row>
    <row r="53" spans="1:13" ht="42.75">
      <c r="A53" s="30" t="s">
        <v>124</v>
      </c>
      <c r="B53" s="30">
        <v>407</v>
      </c>
      <c r="C53" s="30" t="s">
        <v>125</v>
      </c>
      <c r="D53" s="30" t="s">
        <v>38</v>
      </c>
      <c r="H53" s="30" t="e">
        <f>INDEX(пред!$A$1:$F$222,MATCH(итог!A53,пред!$A$1:$A$222,0),4)</f>
        <v>#N/A</v>
      </c>
      <c r="I53" s="30" t="s">
        <v>125</v>
      </c>
      <c r="J53" s="30" t="s">
        <v>38</v>
      </c>
      <c r="L53" s="30">
        <v>48</v>
      </c>
      <c r="M53" s="30">
        <f>INDEX(защ!$A$1:$H$218,MATCH(итог!A53,защ!$A$1:$A$218,0),4)</f>
        <v>5</v>
      </c>
    </row>
    <row r="54" spans="1:13" ht="28.5">
      <c r="A54" s="30" t="s">
        <v>126</v>
      </c>
      <c r="B54" s="30">
        <v>407</v>
      </c>
      <c r="C54" s="30" t="s">
        <v>326</v>
      </c>
      <c r="D54" s="30" t="s">
        <v>100</v>
      </c>
      <c r="H54" s="30">
        <f>INDEX(пред!$A$1:$F$222,MATCH(итог!A54,пред!$A$1:$A$222,0),4)</f>
        <v>4</v>
      </c>
      <c r="I54" s="30" t="s">
        <v>326</v>
      </c>
      <c r="J54" s="30" t="s">
        <v>100</v>
      </c>
      <c r="L54" s="30">
        <v>55</v>
      </c>
      <c r="M54" s="30">
        <f>INDEX(защ!$A$1:$H$218,MATCH(итог!A54,защ!$A$1:$A$218,0),4)</f>
        <v>4</v>
      </c>
    </row>
    <row r="55" spans="1:13" ht="42.75">
      <c r="A55" s="30" t="s">
        <v>127</v>
      </c>
      <c r="B55" s="30">
        <v>407</v>
      </c>
      <c r="C55" s="30" t="s">
        <v>128</v>
      </c>
      <c r="D55" s="30" t="s">
        <v>38</v>
      </c>
      <c r="H55" s="30">
        <f>INDEX(пред!$A$1:$F$222,MATCH(итог!A55,пред!$A$1:$A$222,0),4)</f>
        <v>5</v>
      </c>
      <c r="I55" s="30" t="s">
        <v>128</v>
      </c>
      <c r="J55" s="30" t="s">
        <v>38</v>
      </c>
      <c r="L55" s="30">
        <v>53</v>
      </c>
      <c r="M55" s="30">
        <f>INDEX(защ!$A$1:$H$218,MATCH(итог!A55,защ!$A$1:$A$218,0),4)</f>
        <v>5</v>
      </c>
    </row>
    <row r="56" spans="1:13" ht="42.75">
      <c r="A56" s="30" t="s">
        <v>129</v>
      </c>
      <c r="B56" s="30">
        <v>407</v>
      </c>
      <c r="C56" s="30" t="s">
        <v>130</v>
      </c>
      <c r="D56" s="30" t="s">
        <v>29</v>
      </c>
      <c r="H56" s="30">
        <f>INDEX(пред!$A$1:$F$222,MATCH(итог!A56,пред!$A$1:$A$222,0),4)</f>
        <v>5</v>
      </c>
      <c r="I56" s="30" t="s">
        <v>130</v>
      </c>
      <c r="J56" s="30" t="s">
        <v>29</v>
      </c>
      <c r="L56" s="30">
        <v>47</v>
      </c>
      <c r="M56" s="30">
        <f>INDEX(защ!$A$1:$H$218,MATCH(итог!A56,защ!$A$1:$A$218,0),4)</f>
        <v>5</v>
      </c>
    </row>
    <row r="57" spans="1:13" ht="28.5">
      <c r="A57" s="30" t="s">
        <v>131</v>
      </c>
      <c r="B57" s="30">
        <v>407</v>
      </c>
      <c r="C57" s="30" t="s">
        <v>132</v>
      </c>
      <c r="D57" s="30" t="s">
        <v>41</v>
      </c>
      <c r="H57" s="30">
        <f>INDEX(пред!$A$1:$F$222,MATCH(итог!A57,пред!$A$1:$A$222,0),4)</f>
        <v>5</v>
      </c>
      <c r="I57" s="30" t="s">
        <v>132</v>
      </c>
      <c r="J57" s="30" t="s">
        <v>41</v>
      </c>
      <c r="L57" s="30">
        <v>41</v>
      </c>
      <c r="M57" s="30">
        <f>INDEX(защ!$A$1:$H$218,MATCH(итог!A57,защ!$A$1:$A$218,0),4)</f>
        <v>4</v>
      </c>
    </row>
    <row r="58" spans="1:13" ht="42.75">
      <c r="A58" s="30" t="s">
        <v>133</v>
      </c>
      <c r="B58" s="30">
        <v>407</v>
      </c>
      <c r="C58" s="30" t="s">
        <v>134</v>
      </c>
      <c r="D58" s="30" t="s">
        <v>46</v>
      </c>
      <c r="H58" s="30">
        <f>INDEX(пред!$A$1:$F$222,MATCH(итог!A58,пред!$A$1:$A$222,0),4)</f>
        <v>5</v>
      </c>
      <c r="I58" s="30" t="s">
        <v>134</v>
      </c>
      <c r="J58" s="30" t="s">
        <v>46</v>
      </c>
      <c r="L58" s="30">
        <v>42</v>
      </c>
      <c r="M58" s="30">
        <f>INDEX(защ!$A$1:$H$218,MATCH(итог!A58,защ!$A$1:$A$218,0),4)</f>
        <v>4</v>
      </c>
    </row>
    <row r="59" spans="1:13" ht="28.5">
      <c r="A59" s="30" t="s">
        <v>135</v>
      </c>
      <c r="B59" s="30">
        <v>407</v>
      </c>
      <c r="C59" s="30" t="s">
        <v>136</v>
      </c>
      <c r="D59" s="30" t="s">
        <v>137</v>
      </c>
      <c r="H59" s="30">
        <f>INDEX(пред!$A$1:$F$222,MATCH(итог!A59,пред!$A$1:$A$222,0),4)</f>
        <v>3</v>
      </c>
      <c r="I59" s="30" t="s">
        <v>136</v>
      </c>
      <c r="J59" s="30" t="s">
        <v>137</v>
      </c>
      <c r="L59" s="30">
        <v>47</v>
      </c>
      <c r="M59" s="30">
        <f>INDEX(защ!$A$1:$H$218,MATCH(итог!A59,защ!$A$1:$A$218,0),4)</f>
        <v>5</v>
      </c>
    </row>
    <row r="60" spans="1:13" ht="28.5">
      <c r="A60" s="30" t="s">
        <v>138</v>
      </c>
      <c r="B60" s="30">
        <v>407</v>
      </c>
      <c r="C60" s="30" t="s">
        <v>139</v>
      </c>
      <c r="D60" s="30" t="s">
        <v>106</v>
      </c>
      <c r="H60" s="30">
        <f>INDEX(пред!$A$1:$F$222,MATCH(итог!A60,пред!$A$1:$A$222,0),4)</f>
        <v>5</v>
      </c>
      <c r="I60" s="30" t="s">
        <v>139</v>
      </c>
      <c r="J60" s="30" t="s">
        <v>106</v>
      </c>
      <c r="L60" s="30">
        <v>40</v>
      </c>
      <c r="M60" s="30">
        <f>INDEX(защ!$A$1:$H$218,MATCH(итог!A60,защ!$A$1:$A$218,0),4)</f>
        <v>5</v>
      </c>
    </row>
    <row r="61" spans="1:13" ht="28.5">
      <c r="A61" s="30" t="s">
        <v>140</v>
      </c>
      <c r="B61" s="30">
        <v>407</v>
      </c>
      <c r="C61" s="30" t="s">
        <v>141</v>
      </c>
      <c r="D61" s="30" t="s">
        <v>41</v>
      </c>
      <c r="H61" s="30">
        <f>INDEX(пред!$A$1:$F$222,MATCH(итог!A61,пред!$A$1:$A$222,0),4)</f>
        <v>4</v>
      </c>
      <c r="I61" s="30" t="s">
        <v>141</v>
      </c>
      <c r="J61" s="30" t="s">
        <v>41</v>
      </c>
      <c r="L61" s="30">
        <v>40</v>
      </c>
      <c r="M61" s="30">
        <f>INDEX(защ!$A$1:$H$218,MATCH(итог!A61,защ!$A$1:$A$218,0),4)</f>
        <v>5</v>
      </c>
    </row>
    <row r="62" spans="1:13" ht="42.75">
      <c r="A62" s="30" t="s">
        <v>142</v>
      </c>
      <c r="B62" s="30">
        <v>407</v>
      </c>
      <c r="C62" s="30" t="s">
        <v>315</v>
      </c>
      <c r="D62" s="30" t="s">
        <v>41</v>
      </c>
      <c r="E62" s="30" t="s">
        <v>143</v>
      </c>
      <c r="H62" s="30">
        <f>INDEX(пред!$A$1:$F$222,MATCH(итог!A62,пред!$A$1:$A$222,0),4)</f>
        <v>3</v>
      </c>
      <c r="I62" s="30" t="s">
        <v>315</v>
      </c>
      <c r="J62" s="30" t="s">
        <v>41</v>
      </c>
      <c r="L62" s="30">
        <v>52</v>
      </c>
      <c r="M62" s="30">
        <f>INDEX(защ!$A$1:$H$218,MATCH(итог!A62,защ!$A$1:$A$218,0),4)</f>
        <v>4</v>
      </c>
    </row>
    <row r="63" spans="1:13" ht="42.75">
      <c r="A63" s="30" t="s">
        <v>144</v>
      </c>
      <c r="B63" s="30">
        <v>407</v>
      </c>
      <c r="C63" s="30" t="s">
        <v>145</v>
      </c>
      <c r="D63" s="30" t="s">
        <v>146</v>
      </c>
      <c r="H63" s="30">
        <f>INDEX(пред!$A$1:$F$222,MATCH(итог!A63,пред!$A$1:$A$222,0),4)</f>
        <v>5</v>
      </c>
      <c r="I63" s="30" t="s">
        <v>145</v>
      </c>
      <c r="J63" s="30" t="s">
        <v>146</v>
      </c>
      <c r="L63" s="30">
        <v>43</v>
      </c>
      <c r="M63" s="30">
        <f>INDEX(защ!$A$1:$H$218,MATCH(итог!A63,защ!$A$1:$A$218,0),4)</f>
        <v>5</v>
      </c>
    </row>
    <row r="64" spans="1:13" ht="42.75">
      <c r="A64" s="30" t="s">
        <v>147</v>
      </c>
      <c r="B64" s="30">
        <v>407</v>
      </c>
      <c r="C64" s="30" t="s">
        <v>148</v>
      </c>
      <c r="D64" s="30" t="s">
        <v>146</v>
      </c>
      <c r="H64" s="30">
        <f>INDEX(пред!$A$1:$F$222,MATCH(итог!A64,пред!$A$1:$A$222,0),4)</f>
        <v>4</v>
      </c>
      <c r="I64" s="30" t="s">
        <v>148</v>
      </c>
      <c r="J64" s="30" t="s">
        <v>146</v>
      </c>
      <c r="L64" s="30">
        <v>45</v>
      </c>
      <c r="M64" s="30">
        <f>INDEX(защ!$A$1:$H$218,MATCH(итог!A64,защ!$A$1:$A$218,0),4)</f>
        <v>5</v>
      </c>
    </row>
    <row r="65" spans="1:13" ht="42.75">
      <c r="A65" s="30" t="s">
        <v>149</v>
      </c>
      <c r="B65" s="30">
        <v>407</v>
      </c>
      <c r="C65" s="30" t="s">
        <v>150</v>
      </c>
      <c r="D65" s="30" t="s">
        <v>151</v>
      </c>
      <c r="E65" s="30" t="s">
        <v>29</v>
      </c>
      <c r="H65" s="30">
        <f>INDEX(пред!$A$1:$F$222,MATCH(итог!A65,пред!$A$1:$A$222,0),4)</f>
        <v>5</v>
      </c>
      <c r="I65" s="30" t="s">
        <v>150</v>
      </c>
      <c r="J65" s="30" t="s">
        <v>151</v>
      </c>
      <c r="L65" s="30">
        <v>40</v>
      </c>
      <c r="M65" s="30">
        <f>INDEX(защ!$A$1:$H$218,MATCH(итог!A65,защ!$A$1:$A$218,0),4)</f>
        <v>4</v>
      </c>
    </row>
    <row r="66" spans="1:13" ht="28.5">
      <c r="A66" s="30" t="s">
        <v>152</v>
      </c>
      <c r="B66" s="30">
        <v>407</v>
      </c>
      <c r="C66" s="30" t="s">
        <v>153</v>
      </c>
      <c r="D66" s="30" t="s">
        <v>16</v>
      </c>
      <c r="H66" s="30">
        <f>INDEX(пред!$A$1:$F$222,MATCH(итог!A66,пред!$A$1:$A$222,0),4)</f>
        <v>3</v>
      </c>
      <c r="I66" s="30" t="s">
        <v>153</v>
      </c>
      <c r="J66" s="30" t="s">
        <v>16</v>
      </c>
      <c r="L66" s="30">
        <v>46</v>
      </c>
      <c r="M66" s="30">
        <f>INDEX(защ!$A$1:$H$218,MATCH(итог!A66,защ!$A$1:$A$218,0),4)</f>
        <v>4</v>
      </c>
    </row>
    <row r="67" spans="1:13" ht="42.75">
      <c r="A67" s="30" t="s">
        <v>154</v>
      </c>
      <c r="B67" s="30">
        <v>407</v>
      </c>
      <c r="C67" s="30" t="s">
        <v>155</v>
      </c>
      <c r="D67" s="30" t="s">
        <v>146</v>
      </c>
      <c r="H67" s="30">
        <f>INDEX(пред!$A$1:$F$222,MATCH(итог!A67,пред!$A$1:$A$222,0),4)</f>
        <v>5</v>
      </c>
      <c r="I67" s="30" t="s">
        <v>155</v>
      </c>
      <c r="J67" s="30" t="s">
        <v>146</v>
      </c>
      <c r="L67" s="30">
        <v>49</v>
      </c>
      <c r="M67" s="30">
        <f>INDEX(защ!$A$1:$H$218,MATCH(итог!A67,защ!$A$1:$A$218,0),4)</f>
        <v>5</v>
      </c>
    </row>
    <row r="68" spans="1:13" ht="42.75">
      <c r="A68" s="30" t="s">
        <v>156</v>
      </c>
      <c r="B68" s="30">
        <v>407</v>
      </c>
      <c r="C68" s="30" t="s">
        <v>157</v>
      </c>
      <c r="D68" s="30" t="s">
        <v>151</v>
      </c>
      <c r="E68" s="30" t="s">
        <v>29</v>
      </c>
      <c r="H68" s="30">
        <f>INDEX(пред!$A$1:$F$222,MATCH(итог!A68,пред!$A$1:$A$222,0),4)</f>
        <v>4</v>
      </c>
      <c r="I68" s="30" t="s">
        <v>157</v>
      </c>
      <c r="J68" s="30" t="s">
        <v>151</v>
      </c>
      <c r="L68" s="30">
        <v>42</v>
      </c>
      <c r="M68" s="30">
        <f>INDEX(защ!$A$1:$H$218,MATCH(итог!A68,защ!$A$1:$A$218,0),4)</f>
        <v>5</v>
      </c>
    </row>
    <row r="69" spans="1:13" ht="42.75">
      <c r="A69" s="30" t="s">
        <v>158</v>
      </c>
      <c r="B69" s="30">
        <v>407</v>
      </c>
      <c r="C69" s="30" t="s">
        <v>159</v>
      </c>
      <c r="D69" s="30" t="s">
        <v>100</v>
      </c>
      <c r="H69" s="30">
        <f>INDEX(пред!$A$1:$F$222,MATCH(итог!A69,пред!$A$1:$A$222,0),4)</f>
        <v>4</v>
      </c>
      <c r="I69" s="30" t="s">
        <v>159</v>
      </c>
      <c r="J69" s="30" t="s">
        <v>100</v>
      </c>
      <c r="L69" s="30">
        <v>52</v>
      </c>
      <c r="M69" s="30">
        <f>INDEX(защ!$A$1:$H$218,MATCH(итог!A69,защ!$A$1:$A$218,0),4)</f>
        <v>4</v>
      </c>
    </row>
    <row r="70" spans="1:13" ht="28.5">
      <c r="A70" s="30" t="s">
        <v>160</v>
      </c>
      <c r="B70" s="30">
        <v>407</v>
      </c>
      <c r="C70" s="30" t="s">
        <v>161</v>
      </c>
      <c r="D70" s="30" t="s">
        <v>11</v>
      </c>
      <c r="H70" s="30">
        <f>INDEX(пред!$A$1:$F$222,MATCH(итог!A70,пред!$A$1:$A$222,0),4)</f>
        <v>5</v>
      </c>
      <c r="I70" s="30" t="s">
        <v>161</v>
      </c>
      <c r="J70" s="30" t="s">
        <v>11</v>
      </c>
      <c r="L70" s="30">
        <v>57</v>
      </c>
      <c r="M70" s="30">
        <f>INDEX(защ!$A$1:$H$218,MATCH(итог!A70,защ!$A$1:$A$218,0),4)</f>
        <v>5</v>
      </c>
    </row>
    <row r="71" spans="1:13" ht="28.5">
      <c r="A71" s="30" t="s">
        <v>162</v>
      </c>
      <c r="B71" s="30">
        <v>407</v>
      </c>
      <c r="C71" s="30" t="s">
        <v>163</v>
      </c>
      <c r="D71" s="30" t="s">
        <v>164</v>
      </c>
      <c r="H71" s="30">
        <f>INDEX(пред!$A$1:$F$222,MATCH(итог!A71,пред!$A$1:$A$222,0),4)</f>
        <v>5</v>
      </c>
      <c r="I71" s="30" t="s">
        <v>163</v>
      </c>
      <c r="J71" s="30" t="s">
        <v>164</v>
      </c>
      <c r="L71" s="30">
        <v>51</v>
      </c>
      <c r="M71" s="30">
        <f>INDEX(защ!$A$1:$H$218,MATCH(итог!A71,защ!$A$1:$A$218,0),4)</f>
        <v>5</v>
      </c>
    </row>
    <row r="72" spans="1:13" ht="28.5">
      <c r="A72" s="30" t="s">
        <v>165</v>
      </c>
      <c r="B72" s="30">
        <v>407</v>
      </c>
      <c r="C72" s="30" t="s">
        <v>166</v>
      </c>
      <c r="D72" s="30" t="s">
        <v>8</v>
      </c>
      <c r="H72" s="30">
        <f>INDEX(пред!$A$1:$F$222,MATCH(итог!A72,пред!$A$1:$A$222,0),4)</f>
        <v>5</v>
      </c>
      <c r="I72" s="30" t="s">
        <v>166</v>
      </c>
      <c r="J72" s="30" t="s">
        <v>8</v>
      </c>
      <c r="L72" s="30">
        <v>44</v>
      </c>
      <c r="M72" s="30">
        <f>INDEX(защ!$A$1:$H$218,MATCH(итог!A72,защ!$A$1:$A$218,0),4)</f>
        <v>5</v>
      </c>
    </row>
    <row r="73" spans="1:13" ht="42.75">
      <c r="A73" s="30" t="s">
        <v>167</v>
      </c>
      <c r="B73" s="30">
        <v>407</v>
      </c>
      <c r="C73" s="30" t="s">
        <v>168</v>
      </c>
      <c r="D73" s="30" t="s">
        <v>11</v>
      </c>
      <c r="H73" s="30">
        <f>INDEX(пред!$A$1:$F$222,MATCH(итог!A73,пред!$A$1:$A$222,0),4)</f>
        <v>4</v>
      </c>
      <c r="I73" s="30" t="s">
        <v>168</v>
      </c>
      <c r="J73" s="30" t="s">
        <v>11</v>
      </c>
      <c r="L73" s="30">
        <v>53</v>
      </c>
      <c r="M73" s="30">
        <f>INDEX(защ!$A$1:$H$218,MATCH(итог!A73,защ!$A$1:$A$218,0),4)</f>
        <v>5</v>
      </c>
    </row>
    <row r="74" spans="1:13" ht="28.5">
      <c r="A74" s="30" t="s">
        <v>169</v>
      </c>
      <c r="B74" s="30">
        <v>407</v>
      </c>
      <c r="C74" s="30" t="s">
        <v>170</v>
      </c>
      <c r="D74" s="30" t="s">
        <v>8</v>
      </c>
      <c r="H74" s="30">
        <f>INDEX(пред!$A$1:$F$222,MATCH(итог!A74,пред!$A$1:$A$222,0),4)</f>
        <v>5</v>
      </c>
      <c r="I74" s="30" t="s">
        <v>170</v>
      </c>
      <c r="J74" s="30" t="s">
        <v>8</v>
      </c>
      <c r="L74" s="30">
        <v>50</v>
      </c>
      <c r="M74" s="30">
        <f>INDEX(защ!$A$1:$H$218,MATCH(итог!A74,защ!$A$1:$A$218,0),4)</f>
        <v>5</v>
      </c>
    </row>
    <row r="75" spans="1:13" ht="28.5">
      <c r="A75" s="30" t="s">
        <v>171</v>
      </c>
      <c r="B75" s="30">
        <v>408</v>
      </c>
      <c r="C75" s="30" t="s">
        <v>172</v>
      </c>
      <c r="D75" s="30" t="s">
        <v>151</v>
      </c>
      <c r="E75" s="30" t="s">
        <v>41</v>
      </c>
      <c r="H75" s="30">
        <f>INDEX(пред!$A$1:$F$222,MATCH(итог!A75,пред!$A$1:$A$222,0),4)</f>
        <v>5</v>
      </c>
      <c r="I75" s="30" t="s">
        <v>172</v>
      </c>
      <c r="J75" s="30" t="s">
        <v>151</v>
      </c>
      <c r="L75" s="30">
        <v>44</v>
      </c>
      <c r="M75" s="30">
        <f>INDEX(защ!$A$1:$H$218,MATCH(итог!A75,защ!$A$1:$A$218,0),4)</f>
        <v>5</v>
      </c>
    </row>
    <row r="76" spans="1:13" ht="42.75">
      <c r="A76" s="30" t="s">
        <v>173</v>
      </c>
      <c r="B76" s="30">
        <v>408</v>
      </c>
      <c r="C76" s="30" t="s">
        <v>174</v>
      </c>
      <c r="D76" s="30" t="s">
        <v>100</v>
      </c>
      <c r="H76" s="30">
        <f>INDEX(пред!$A$1:$F$222,MATCH(итог!A76,пред!$A$1:$A$222,0),4)</f>
        <v>4</v>
      </c>
      <c r="I76" s="30" t="s">
        <v>174</v>
      </c>
      <c r="J76" s="30" t="s">
        <v>100</v>
      </c>
      <c r="L76" s="30">
        <v>40</v>
      </c>
      <c r="M76" s="30">
        <f>INDEX(защ!$A$1:$H$218,MATCH(итог!A76,защ!$A$1:$A$218,0),4)</f>
        <v>5</v>
      </c>
    </row>
    <row r="77" spans="1:13" ht="42.75">
      <c r="A77" s="30" t="s">
        <v>175</v>
      </c>
      <c r="B77" s="30">
        <v>408</v>
      </c>
      <c r="C77" s="30" t="s">
        <v>176</v>
      </c>
      <c r="D77" s="30" t="s">
        <v>177</v>
      </c>
      <c r="E77" s="30" t="s">
        <v>92</v>
      </c>
      <c r="H77" s="30">
        <f>INDEX(пред!$A$1:$F$222,MATCH(итог!A77,пред!$A$1:$A$222,0),4)</f>
        <v>5</v>
      </c>
      <c r="I77" s="30" t="s">
        <v>176</v>
      </c>
      <c r="J77" s="30" t="s">
        <v>177</v>
      </c>
      <c r="L77" s="30">
        <v>50</v>
      </c>
      <c r="M77" s="30">
        <f>INDEX(защ!$A$1:$H$218,MATCH(итог!A77,защ!$A$1:$A$218,0),4)</f>
        <v>5</v>
      </c>
    </row>
    <row r="78" spans="1:13" ht="42.75">
      <c r="A78" s="30" t="s">
        <v>178</v>
      </c>
      <c r="B78" s="30">
        <v>408</v>
      </c>
      <c r="C78" s="30" t="s">
        <v>179</v>
      </c>
      <c r="D78" s="30" t="s">
        <v>306</v>
      </c>
      <c r="H78" s="30">
        <f>INDEX(пред!$A$1:$F$222,MATCH(итог!A78,пред!$A$1:$A$222,0),4)</f>
        <v>4</v>
      </c>
      <c r="I78" s="30" t="s">
        <v>179</v>
      </c>
      <c r="J78" s="30" t="s">
        <v>306</v>
      </c>
      <c r="L78" s="30">
        <v>51</v>
      </c>
      <c r="M78" s="30">
        <f>INDEX(защ!$A$1:$H$218,MATCH(итог!A78,защ!$A$1:$A$218,0),4)</f>
        <v>5</v>
      </c>
    </row>
    <row r="79" spans="1:13" ht="42.75">
      <c r="A79" s="30" t="s">
        <v>180</v>
      </c>
      <c r="B79" s="30">
        <v>408</v>
      </c>
      <c r="C79" s="30" t="s">
        <v>181</v>
      </c>
      <c r="D79" s="30" t="s">
        <v>177</v>
      </c>
      <c r="E79" s="30" t="s">
        <v>92</v>
      </c>
      <c r="H79" s="30">
        <f>INDEX(пред!$A$1:$F$222,MATCH(итог!A79,пред!$A$1:$A$222,0),4)</f>
        <v>5</v>
      </c>
      <c r="I79" s="30" t="s">
        <v>181</v>
      </c>
      <c r="J79" s="30" t="s">
        <v>177</v>
      </c>
      <c r="L79" s="30">
        <v>78</v>
      </c>
      <c r="M79" s="30">
        <f>INDEX(защ!$A$1:$H$218,MATCH(итог!A79,защ!$A$1:$A$218,0),4)</f>
        <v>5</v>
      </c>
    </row>
    <row r="80" spans="1:13" ht="28.5">
      <c r="A80" s="30" t="s">
        <v>182</v>
      </c>
      <c r="B80" s="30">
        <v>408</v>
      </c>
      <c r="C80" s="30" t="s">
        <v>183</v>
      </c>
      <c r="D80" s="30" t="s">
        <v>100</v>
      </c>
      <c r="H80" s="30">
        <f>INDEX(пред!$A$1:$F$222,MATCH(итог!A80,пред!$A$1:$A$222,0),4)</f>
        <v>4</v>
      </c>
      <c r="I80" s="30" t="s">
        <v>183</v>
      </c>
      <c r="J80" s="30" t="s">
        <v>100</v>
      </c>
      <c r="L80" s="30">
        <v>41</v>
      </c>
      <c r="M80" s="30">
        <f>INDEX(защ!$A$1:$H$218,MATCH(итог!A80,защ!$A$1:$A$218,0),4)</f>
        <v>4</v>
      </c>
    </row>
    <row r="81" spans="1:13" ht="42.75">
      <c r="A81" s="30" t="s">
        <v>184</v>
      </c>
      <c r="B81" s="30">
        <v>408</v>
      </c>
      <c r="C81" s="30" t="s">
        <v>185</v>
      </c>
      <c r="D81" s="30" t="s">
        <v>38</v>
      </c>
      <c r="H81" s="30">
        <f>INDEX(пред!$A$1:$F$222,MATCH(итог!A81,пред!$A$1:$A$222,0),4)</f>
        <v>5</v>
      </c>
      <c r="I81" s="30" t="s">
        <v>185</v>
      </c>
      <c r="J81" s="30" t="s">
        <v>316</v>
      </c>
      <c r="L81" s="30">
        <v>62</v>
      </c>
      <c r="M81" s="30">
        <f>INDEX(защ!$A$1:$H$218,MATCH(итог!A81,защ!$A$1:$A$218,0),4)</f>
        <v>5</v>
      </c>
    </row>
    <row r="82" spans="1:13" ht="28.5">
      <c r="A82" s="30" t="s">
        <v>186</v>
      </c>
      <c r="B82" s="30">
        <v>408</v>
      </c>
      <c r="C82" s="30" t="s">
        <v>187</v>
      </c>
      <c r="D82" s="30" t="s">
        <v>188</v>
      </c>
      <c r="H82" s="30">
        <f>INDEX(пред!$A$1:$F$222,MATCH(итог!A82,пред!$A$1:$A$222,0),4)</f>
        <v>3</v>
      </c>
      <c r="I82" s="30" t="s">
        <v>187</v>
      </c>
      <c r="J82" s="30" t="s">
        <v>188</v>
      </c>
      <c r="L82" s="30">
        <v>53</v>
      </c>
      <c r="M82" s="30">
        <f>INDEX(защ!$A$1:$H$218,MATCH(итог!A82,защ!$A$1:$A$218,0),4)</f>
        <v>4</v>
      </c>
    </row>
    <row r="83" spans="1:13" ht="42.75">
      <c r="A83" s="30" t="s">
        <v>189</v>
      </c>
      <c r="B83" s="30">
        <v>408</v>
      </c>
      <c r="C83" s="30" t="s">
        <v>190</v>
      </c>
      <c r="D83" s="30" t="s">
        <v>164</v>
      </c>
      <c r="H83" s="30">
        <f>INDEX(пред!$A$1:$F$222,MATCH(итог!A83,пред!$A$1:$A$222,0),4)</f>
        <v>4</v>
      </c>
      <c r="I83" s="30" t="s">
        <v>190</v>
      </c>
      <c r="J83" s="30" t="s">
        <v>164</v>
      </c>
      <c r="L83" s="30">
        <v>58</v>
      </c>
      <c r="M83" s="30">
        <f>INDEX(защ!$A$1:$H$218,MATCH(итог!A83,защ!$A$1:$A$218,0),4)</f>
        <v>5</v>
      </c>
    </row>
    <row r="84" spans="1:13" ht="28.5">
      <c r="A84" s="30" t="s">
        <v>191</v>
      </c>
      <c r="B84" s="30">
        <v>408</v>
      </c>
      <c r="C84" s="30" t="s">
        <v>192</v>
      </c>
      <c r="D84" s="30" t="s">
        <v>100</v>
      </c>
      <c r="H84" s="30">
        <f>INDEX(пред!$A$1:$F$222,MATCH(итог!A84,пред!$A$1:$A$222,0),4)</f>
        <v>5</v>
      </c>
      <c r="I84" s="30" t="s">
        <v>192</v>
      </c>
      <c r="J84" s="30" t="s">
        <v>100</v>
      </c>
      <c r="L84" s="30">
        <v>51</v>
      </c>
      <c r="M84" s="30">
        <f>INDEX(защ!$A$1:$H$218,MATCH(итог!A84,защ!$A$1:$A$218,0),4)</f>
        <v>5</v>
      </c>
    </row>
    <row r="85" spans="1:13" ht="28.5">
      <c r="A85" s="30" t="s">
        <v>193</v>
      </c>
      <c r="B85" s="30">
        <v>408</v>
      </c>
      <c r="C85" s="30" t="s">
        <v>194</v>
      </c>
      <c r="D85" s="30" t="s">
        <v>100</v>
      </c>
      <c r="H85" s="30">
        <f>INDEX(пред!$A$1:$F$222,MATCH(итог!A85,пред!$A$1:$A$222,0),4)</f>
        <v>5</v>
      </c>
      <c r="I85" s="30" t="s">
        <v>194</v>
      </c>
      <c r="J85" s="30" t="s">
        <v>100</v>
      </c>
      <c r="L85" s="30">
        <v>46</v>
      </c>
      <c r="M85" s="30">
        <f>INDEX(защ!$A$1:$H$218,MATCH(итог!A85,защ!$A$1:$A$218,0),4)</f>
        <v>5</v>
      </c>
    </row>
    <row r="86" spans="1:13" ht="28.5">
      <c r="A86" s="30" t="s">
        <v>195</v>
      </c>
      <c r="B86" s="30">
        <v>408</v>
      </c>
      <c r="C86" s="30" t="s">
        <v>196</v>
      </c>
      <c r="D86" s="30" t="s">
        <v>41</v>
      </c>
      <c r="H86" s="30" t="e">
        <f>INDEX(пред!$A$1:$F$222,MATCH(итог!A86,пред!$A$1:$A$222,0),4)</f>
        <v>#N/A</v>
      </c>
      <c r="I86" s="30" t="s">
        <v>196</v>
      </c>
      <c r="J86" s="30" t="s">
        <v>41</v>
      </c>
      <c r="L86" s="30">
        <v>49</v>
      </c>
      <c r="M86" s="30">
        <f>INDEX(защ!$A$1:$H$218,MATCH(итог!A86,защ!$A$1:$A$218,0),4)</f>
        <v>5</v>
      </c>
    </row>
    <row r="87" spans="1:13" ht="42.75">
      <c r="A87" s="30" t="s">
        <v>197</v>
      </c>
      <c r="B87" s="30">
        <v>408</v>
      </c>
      <c r="C87" s="30" t="s">
        <v>198</v>
      </c>
      <c r="D87" s="30" t="s">
        <v>46</v>
      </c>
      <c r="H87" s="30">
        <f>INDEX(пред!$A$1:$F$222,MATCH(итог!A87,пред!$A$1:$A$222,0),4)</f>
        <v>5</v>
      </c>
      <c r="I87" s="30" t="s">
        <v>198</v>
      </c>
      <c r="J87" s="30" t="s">
        <v>46</v>
      </c>
      <c r="L87" s="30">
        <v>43</v>
      </c>
      <c r="M87" s="30">
        <f>INDEX(защ!$A$1:$H$218,MATCH(итог!A87,защ!$A$1:$A$218,0),4)</f>
        <v>5</v>
      </c>
    </row>
    <row r="88" spans="1:13" ht="42.75">
      <c r="A88" s="30" t="s">
        <v>199</v>
      </c>
      <c r="B88" s="30">
        <v>408</v>
      </c>
      <c r="C88" s="30" t="s">
        <v>200</v>
      </c>
      <c r="D88" s="30" t="s">
        <v>201</v>
      </c>
      <c r="H88" s="30">
        <f>INDEX(пред!$A$1:$F$222,MATCH(итог!A88,пред!$A$1:$A$222,0),4)</f>
        <v>5</v>
      </c>
      <c r="I88" s="30" t="s">
        <v>200</v>
      </c>
      <c r="J88" s="30" t="s">
        <v>201</v>
      </c>
      <c r="L88" s="30">
        <v>47</v>
      </c>
      <c r="M88" s="30">
        <f>INDEX(защ!$A$1:$H$218,MATCH(итог!A88,защ!$A$1:$A$218,0),4)</f>
        <v>5</v>
      </c>
    </row>
    <row r="89" spans="1:13" ht="28.5">
      <c r="A89" s="30" t="s">
        <v>202</v>
      </c>
      <c r="B89" s="30">
        <v>408</v>
      </c>
      <c r="C89" s="30" t="s">
        <v>203</v>
      </c>
      <c r="D89" s="30" t="s">
        <v>41</v>
      </c>
      <c r="H89" s="30" t="e">
        <f>INDEX(пред!$A$1:$F$222,MATCH(итог!A89,пред!$A$1:$A$222,0),4)</f>
        <v>#N/A</v>
      </c>
      <c r="I89" s="30" t="s">
        <v>203</v>
      </c>
      <c r="J89" s="30" t="s">
        <v>41</v>
      </c>
      <c r="L89" s="30">
        <v>68</v>
      </c>
      <c r="M89" s="30">
        <f>INDEX(защ!$A$1:$H$218,MATCH(итог!A89,защ!$A$1:$A$218,0),4)</f>
        <v>5</v>
      </c>
    </row>
    <row r="90" spans="1:13" ht="28.5">
      <c r="A90" s="30" t="s">
        <v>204</v>
      </c>
      <c r="B90" s="30">
        <v>408</v>
      </c>
      <c r="C90" s="30" t="s">
        <v>205</v>
      </c>
      <c r="D90" s="30" t="s">
        <v>41</v>
      </c>
      <c r="H90" s="30">
        <f>INDEX(пред!$A$1:$F$222,MATCH(итог!A90,пред!$A$1:$A$222,0),4)</f>
        <v>5</v>
      </c>
      <c r="I90" s="30" t="s">
        <v>205</v>
      </c>
      <c r="J90" s="30" t="s">
        <v>41</v>
      </c>
      <c r="L90" s="30">
        <v>47</v>
      </c>
      <c r="M90" s="30">
        <f>INDEX(защ!$A$1:$H$218,MATCH(итог!A90,защ!$A$1:$A$218,0),4)</f>
        <v>5</v>
      </c>
    </row>
    <row r="91" spans="1:13" ht="28.5">
      <c r="A91" s="30" t="s">
        <v>206</v>
      </c>
      <c r="B91" s="30">
        <v>408</v>
      </c>
      <c r="C91" s="30" t="s">
        <v>207</v>
      </c>
      <c r="D91" s="30" t="s">
        <v>208</v>
      </c>
      <c r="H91" s="30" t="e">
        <f>INDEX(пред!$A$1:$F$222,MATCH(итог!A91,пред!$A$1:$A$222,0),4)</f>
        <v>#N/A</v>
      </c>
      <c r="I91" s="30" t="s">
        <v>207</v>
      </c>
      <c r="J91" s="30" t="s">
        <v>208</v>
      </c>
      <c r="L91" s="30">
        <v>41</v>
      </c>
      <c r="M91" s="30">
        <f>INDEX(защ!$A$1:$H$218,MATCH(итог!A91,защ!$A$1:$A$218,0),4)</f>
        <v>5</v>
      </c>
    </row>
    <row r="92" spans="1:13" ht="99.75">
      <c r="A92" s="30" t="s">
        <v>209</v>
      </c>
      <c r="B92" s="30">
        <v>408</v>
      </c>
      <c r="C92" s="30" t="s">
        <v>327</v>
      </c>
      <c r="D92" s="30" t="s">
        <v>26</v>
      </c>
      <c r="G92" s="30" t="s">
        <v>596</v>
      </c>
      <c r="H92" s="30" t="e">
        <f>INDEX(пред!$A$1:$F$222,MATCH(итог!A92,пред!$A$1:$A$222,0),4)</f>
        <v>#N/A</v>
      </c>
      <c r="I92" s="30" t="s">
        <v>327</v>
      </c>
      <c r="J92" s="30" t="s">
        <v>26</v>
      </c>
      <c r="K92" s="30" t="s">
        <v>599</v>
      </c>
      <c r="M92" s="30" t="e">
        <f>INDEX(защ!$A$1:$H$218,MATCH(итог!A92,защ!$A$1:$A$218,0),4)</f>
        <v>#N/A</v>
      </c>
    </row>
    <row r="93" spans="1:13" ht="28.5">
      <c r="A93" s="30" t="s">
        <v>210</v>
      </c>
      <c r="B93" s="30">
        <v>408</v>
      </c>
      <c r="C93" s="30" t="s">
        <v>211</v>
      </c>
      <c r="D93" s="30" t="s">
        <v>100</v>
      </c>
      <c r="H93" s="30">
        <f>INDEX(пред!$A$1:$F$222,MATCH(итог!A93,пред!$A$1:$A$222,0),4)</f>
        <v>5</v>
      </c>
      <c r="I93" s="30" t="s">
        <v>211</v>
      </c>
      <c r="J93" s="30" t="s">
        <v>100</v>
      </c>
      <c r="L93" s="30">
        <v>45</v>
      </c>
      <c r="M93" s="30">
        <f>INDEX(защ!$A$1:$H$218,MATCH(итог!A93,защ!$A$1:$A$218,0),4)</f>
        <v>5</v>
      </c>
    </row>
    <row r="94" spans="1:13" ht="28.5">
      <c r="A94" s="30" t="s">
        <v>212</v>
      </c>
      <c r="B94" s="30">
        <v>408</v>
      </c>
      <c r="C94" s="30" t="s">
        <v>213</v>
      </c>
      <c r="D94" s="30" t="s">
        <v>41</v>
      </c>
      <c r="H94" s="30" t="e">
        <f>INDEX(пред!$A$1:$F$222,MATCH(итог!A94,пред!$A$1:$A$222,0),4)</f>
        <v>#N/A</v>
      </c>
      <c r="I94" s="30" t="s">
        <v>213</v>
      </c>
      <c r="J94" s="30" t="s">
        <v>41</v>
      </c>
      <c r="L94" s="30">
        <v>46</v>
      </c>
      <c r="M94" s="30">
        <f>INDEX(защ!$A$1:$H$218,MATCH(итог!A94,защ!$A$1:$A$218,0),4)</f>
        <v>5</v>
      </c>
    </row>
    <row r="95" spans="1:13" ht="42.75">
      <c r="A95" s="30" t="s">
        <v>214</v>
      </c>
      <c r="B95" s="30">
        <v>408</v>
      </c>
      <c r="C95" s="30" t="s">
        <v>215</v>
      </c>
      <c r="D95" s="30" t="s">
        <v>146</v>
      </c>
      <c r="H95" s="30">
        <f>INDEX(пред!$A$1:$F$222,MATCH(итог!A95,пред!$A$1:$A$222,0),4)</f>
        <v>5</v>
      </c>
      <c r="I95" s="30" t="s">
        <v>215</v>
      </c>
      <c r="J95" s="30" t="s">
        <v>146</v>
      </c>
      <c r="L95" s="30">
        <v>40</v>
      </c>
      <c r="M95" s="30">
        <f>INDEX(защ!$A$1:$H$218,MATCH(итог!A95,защ!$A$1:$A$218,0),4)</f>
        <v>5</v>
      </c>
    </row>
    <row r="96" spans="1:13" ht="28.5">
      <c r="A96" s="30" t="s">
        <v>216</v>
      </c>
      <c r="B96" s="30">
        <v>408</v>
      </c>
      <c r="C96" s="30" t="s">
        <v>217</v>
      </c>
      <c r="D96" s="30" t="s">
        <v>16</v>
      </c>
      <c r="H96" s="30">
        <f>INDEX(пред!$A$1:$F$222,MATCH(итог!A96,пред!$A$1:$A$222,0),4)</f>
        <v>5</v>
      </c>
      <c r="I96" s="30" t="s">
        <v>217</v>
      </c>
      <c r="J96" s="30" t="s">
        <v>16</v>
      </c>
      <c r="L96" s="30">
        <v>49</v>
      </c>
      <c r="M96" s="30">
        <f>INDEX(защ!$A$1:$H$218,MATCH(итог!A96,защ!$A$1:$A$218,0),4)</f>
        <v>5</v>
      </c>
    </row>
    <row r="97" spans="1:13" ht="28.5">
      <c r="A97" s="30" t="s">
        <v>218</v>
      </c>
      <c r="B97" s="30">
        <v>410</v>
      </c>
      <c r="C97" s="30" t="s">
        <v>219</v>
      </c>
      <c r="D97" s="30" t="s">
        <v>8</v>
      </c>
      <c r="H97" s="30">
        <f>INDEX(пред!$A$1:$F$222,MATCH(итог!A97,пред!$A$1:$A$222,0),4)</f>
        <v>5</v>
      </c>
      <c r="I97" s="30" t="s">
        <v>219</v>
      </c>
      <c r="J97" s="30" t="s">
        <v>8</v>
      </c>
      <c r="L97" s="30">
        <v>48</v>
      </c>
      <c r="M97" s="30">
        <f>INDEX(защ!$A$1:$H$218,MATCH(итог!A97,защ!$A$1:$A$218,0),4)</f>
        <v>4</v>
      </c>
    </row>
    <row r="98" spans="1:13" ht="28.5">
      <c r="A98" s="30" t="s">
        <v>746</v>
      </c>
      <c r="B98" s="30">
        <v>410</v>
      </c>
      <c r="C98" s="30" t="s">
        <v>220</v>
      </c>
      <c r="D98" s="30" t="s">
        <v>221</v>
      </c>
      <c r="H98" s="30">
        <f>INDEX(пред!$A$1:$F$222,MATCH(итог!A98,пред!$A$1:$A$222,0),4)</f>
        <v>2</v>
      </c>
      <c r="I98" s="30" t="s">
        <v>220</v>
      </c>
      <c r="J98" s="30" t="s">
        <v>221</v>
      </c>
      <c r="L98" s="30">
        <v>53</v>
      </c>
      <c r="M98" s="30">
        <f>INDEX(защ!$A$1:$H$218,MATCH(итог!A98,защ!$A$1:$A$218,0),4)</f>
        <v>4</v>
      </c>
    </row>
    <row r="99" spans="1:13" ht="42.75">
      <c r="A99" s="30" t="s">
        <v>222</v>
      </c>
      <c r="B99" s="30">
        <v>410</v>
      </c>
      <c r="C99" s="30" t="s">
        <v>223</v>
      </c>
      <c r="D99" s="30" t="s">
        <v>224</v>
      </c>
      <c r="H99" s="30">
        <f>INDEX(пред!$A$1:$F$222,MATCH(итог!A99,пред!$A$1:$A$222,0),4)</f>
        <v>5</v>
      </c>
      <c r="I99" s="30" t="s">
        <v>223</v>
      </c>
      <c r="J99" s="30" t="s">
        <v>224</v>
      </c>
      <c r="L99" s="30">
        <v>65</v>
      </c>
      <c r="M99" s="30">
        <f>INDEX(защ!$A$1:$H$218,MATCH(итог!A99,защ!$A$1:$A$218,0),4)</f>
        <v>5</v>
      </c>
    </row>
    <row r="100" spans="1:13" ht="42.75">
      <c r="A100" s="30" t="s">
        <v>225</v>
      </c>
      <c r="B100" s="30">
        <v>410</v>
      </c>
      <c r="C100" s="30" t="s">
        <v>226</v>
      </c>
      <c r="D100" s="30" t="s">
        <v>121</v>
      </c>
      <c r="H100" s="30">
        <f>INDEX(пред!$A$1:$F$222,MATCH(итог!A100,пред!$A$1:$A$222,0),4)</f>
        <v>4</v>
      </c>
      <c r="I100" s="30" t="s">
        <v>226</v>
      </c>
      <c r="J100" s="30" t="s">
        <v>121</v>
      </c>
      <c r="L100" s="30">
        <v>44</v>
      </c>
      <c r="M100" s="30">
        <f>INDEX(защ!$A$1:$H$218,MATCH(итог!A100,защ!$A$1:$A$218,0),4)</f>
        <v>5</v>
      </c>
    </row>
    <row r="101" spans="1:13" ht="28.5">
      <c r="A101" s="30" t="s">
        <v>227</v>
      </c>
      <c r="B101" s="30">
        <v>410</v>
      </c>
      <c r="C101" s="30" t="s">
        <v>228</v>
      </c>
      <c r="D101" s="30" t="s">
        <v>11</v>
      </c>
      <c r="H101" s="30">
        <f>INDEX(пред!$A$1:$F$222,MATCH(итог!A101,пред!$A$1:$A$222,0),4)</f>
        <v>4</v>
      </c>
      <c r="I101" s="30" t="s">
        <v>228</v>
      </c>
      <c r="J101" s="30" t="s">
        <v>11</v>
      </c>
      <c r="L101" s="30">
        <v>72</v>
      </c>
      <c r="M101" s="30">
        <f>INDEX(защ!$A$1:$H$218,MATCH(итог!A101,защ!$A$1:$A$218,0),4)</f>
        <v>5</v>
      </c>
    </row>
    <row r="102" spans="1:13" ht="42.75">
      <c r="A102" s="30" t="s">
        <v>229</v>
      </c>
      <c r="B102" s="30">
        <v>410</v>
      </c>
      <c r="C102" s="30" t="s">
        <v>230</v>
      </c>
      <c r="D102" s="30" t="s">
        <v>38</v>
      </c>
      <c r="H102" s="30">
        <f>INDEX(пред!$A$1:$F$222,MATCH(итог!A102,пред!$A$1:$A$222,0),4)</f>
        <v>5</v>
      </c>
      <c r="I102" s="30" t="s">
        <v>230</v>
      </c>
      <c r="J102" s="30" t="s">
        <v>38</v>
      </c>
      <c r="L102" s="30">
        <v>54</v>
      </c>
      <c r="M102" s="30">
        <f>INDEX(защ!$A$1:$H$218,MATCH(итог!A102,защ!$A$1:$A$218,0),4)</f>
        <v>5</v>
      </c>
    </row>
    <row r="103" spans="1:13" ht="42.75">
      <c r="A103" s="30" t="s">
        <v>231</v>
      </c>
      <c r="B103" s="30">
        <v>410</v>
      </c>
      <c r="C103" s="30" t="s">
        <v>232</v>
      </c>
      <c r="D103" s="30" t="s">
        <v>233</v>
      </c>
      <c r="H103" s="30">
        <f>INDEX(пред!$A$1:$F$222,MATCH(итог!A103,пред!$A$1:$A$222,0),4)</f>
        <v>4</v>
      </c>
      <c r="I103" s="30" t="s">
        <v>232</v>
      </c>
      <c r="J103" s="30" t="s">
        <v>233</v>
      </c>
      <c r="L103" s="30">
        <v>59</v>
      </c>
      <c r="M103" s="30">
        <f>INDEX(защ!$A$1:$H$218,MATCH(итог!A103,защ!$A$1:$A$218,0),4)</f>
        <v>5</v>
      </c>
    </row>
    <row r="104" spans="1:13" ht="42.75">
      <c r="A104" s="30" t="s">
        <v>234</v>
      </c>
      <c r="B104" s="30">
        <v>410</v>
      </c>
      <c r="C104" s="30" t="s">
        <v>318</v>
      </c>
      <c r="D104" s="30" t="s">
        <v>177</v>
      </c>
      <c r="E104" s="30" t="s">
        <v>8</v>
      </c>
      <c r="H104" s="30">
        <f>INDEX(пред!$A$1:$F$222,MATCH(итог!A104,пред!$A$1:$A$222,0),4)</f>
        <v>4</v>
      </c>
      <c r="I104" s="30" t="s">
        <v>318</v>
      </c>
      <c r="J104" s="30" t="s">
        <v>177</v>
      </c>
      <c r="L104" s="30">
        <v>43</v>
      </c>
      <c r="M104" s="30">
        <f>INDEX(защ!$A$1:$H$218,MATCH(итог!A104,защ!$A$1:$A$218,0),4)</f>
        <v>5</v>
      </c>
    </row>
    <row r="105" spans="1:13" ht="28.5">
      <c r="A105" s="30" t="s">
        <v>235</v>
      </c>
      <c r="B105" s="30">
        <v>410</v>
      </c>
      <c r="C105" s="30" t="s">
        <v>236</v>
      </c>
      <c r="D105" s="30" t="s">
        <v>59</v>
      </c>
      <c r="H105" s="30">
        <f>INDEX(пред!$A$1:$F$222,MATCH(итог!A105,пред!$A$1:$A$222,0),4)</f>
        <v>5</v>
      </c>
      <c r="I105" s="30" t="s">
        <v>236</v>
      </c>
      <c r="J105" s="30" t="s">
        <v>59</v>
      </c>
      <c r="L105" s="30">
        <v>54</v>
      </c>
      <c r="M105" s="30">
        <f>INDEX(защ!$A$1:$H$218,MATCH(итог!A105,защ!$A$1:$A$218,0),4)</f>
        <v>5</v>
      </c>
    </row>
    <row r="106" spans="1:13" ht="28.5">
      <c r="A106" s="30" t="s">
        <v>237</v>
      </c>
      <c r="B106" s="30">
        <v>410</v>
      </c>
      <c r="C106" s="30" t="s">
        <v>319</v>
      </c>
      <c r="D106" s="30" t="s">
        <v>41</v>
      </c>
      <c r="H106" s="30">
        <f>INDEX(пред!$A$1:$F$222,MATCH(итог!A106,пред!$A$1:$A$222,0),4)</f>
        <v>5</v>
      </c>
      <c r="I106" s="30" t="s">
        <v>319</v>
      </c>
      <c r="J106" s="30" t="s">
        <v>41</v>
      </c>
      <c r="L106" s="30">
        <v>44</v>
      </c>
      <c r="M106" s="30">
        <f>INDEX(защ!$A$1:$H$218,MATCH(итог!A106,защ!$A$1:$A$218,0),4)</f>
        <v>4</v>
      </c>
    </row>
    <row r="107" spans="1:13" ht="42.75">
      <c r="A107" s="30" t="s">
        <v>238</v>
      </c>
      <c r="B107" s="30">
        <v>410</v>
      </c>
      <c r="C107" s="30" t="s">
        <v>239</v>
      </c>
      <c r="D107" s="30" t="s">
        <v>29</v>
      </c>
      <c r="E107" s="30" t="s">
        <v>30</v>
      </c>
      <c r="H107" s="30">
        <f>INDEX(пред!$A$1:$F$222,MATCH(итог!A107,пред!$A$1:$A$222,0),4)</f>
        <v>3</v>
      </c>
      <c r="I107" s="30" t="s">
        <v>239</v>
      </c>
      <c r="J107" s="30" t="s">
        <v>29</v>
      </c>
      <c r="K107" s="30" t="s">
        <v>598</v>
      </c>
      <c r="M107" s="30" t="e">
        <f>INDEX(защ!$A$1:$H$218,MATCH(итог!A107,защ!$A$1:$A$218,0),4)</f>
        <v>#N/A</v>
      </c>
    </row>
    <row r="108" spans="1:13" ht="28.5">
      <c r="A108" s="30" t="s">
        <v>240</v>
      </c>
      <c r="B108" s="30">
        <v>410</v>
      </c>
      <c r="C108" s="30" t="s">
        <v>241</v>
      </c>
      <c r="D108" s="30" t="s">
        <v>8</v>
      </c>
      <c r="H108" s="30">
        <f>INDEX(пред!$A$1:$F$222,MATCH(итог!A108,пред!$A$1:$A$222,0),4)</f>
        <v>4</v>
      </c>
      <c r="I108" s="30" t="s">
        <v>241</v>
      </c>
      <c r="J108" s="30" t="s">
        <v>8</v>
      </c>
      <c r="L108" s="30">
        <v>58</v>
      </c>
      <c r="M108" s="30">
        <f>INDEX(защ!$A$1:$H$218,MATCH(итог!A108,защ!$A$1:$A$218,0),4)</f>
        <v>5</v>
      </c>
    </row>
    <row r="109" spans="1:13" ht="28.5">
      <c r="A109" s="30" t="s">
        <v>242</v>
      </c>
      <c r="B109" s="30">
        <v>410</v>
      </c>
      <c r="C109" s="30" t="s">
        <v>243</v>
      </c>
      <c r="D109" s="30" t="s">
        <v>89</v>
      </c>
      <c r="E109" s="30" t="s">
        <v>121</v>
      </c>
      <c r="H109" s="30">
        <f>INDEX(пред!$A$1:$F$222,MATCH(итог!A109,пред!$A$1:$A$222,0),4)</f>
        <v>3</v>
      </c>
      <c r="I109" s="30" t="s">
        <v>243</v>
      </c>
      <c r="J109" s="30" t="s">
        <v>89</v>
      </c>
      <c r="L109" s="30">
        <v>59</v>
      </c>
      <c r="M109" s="30">
        <f>INDEX(защ!$A$1:$H$218,MATCH(итог!A109,защ!$A$1:$A$218,0),4)</f>
        <v>3</v>
      </c>
    </row>
    <row r="110" spans="1:13" ht="42.75">
      <c r="A110" s="30" t="s">
        <v>244</v>
      </c>
      <c r="B110" s="30">
        <v>410</v>
      </c>
      <c r="C110" s="30" t="s">
        <v>245</v>
      </c>
      <c r="D110" s="30" t="s">
        <v>41</v>
      </c>
      <c r="E110" s="30" t="s">
        <v>143</v>
      </c>
      <c r="H110" s="30">
        <f>INDEX(пред!$A$1:$F$222,MATCH(итог!A110,пред!$A$1:$A$222,0),4)</f>
        <v>5</v>
      </c>
      <c r="I110" s="30" t="s">
        <v>245</v>
      </c>
      <c r="J110" s="30" t="s">
        <v>41</v>
      </c>
      <c r="L110" s="30">
        <v>46</v>
      </c>
      <c r="M110" s="30">
        <f>INDEX(защ!$A$1:$H$218,MATCH(итог!A110,защ!$A$1:$A$218,0),4)</f>
        <v>5</v>
      </c>
    </row>
    <row r="111" spans="1:13" ht="42.75">
      <c r="A111" s="30" t="s">
        <v>246</v>
      </c>
      <c r="B111" s="30">
        <v>410</v>
      </c>
      <c r="C111" s="30" t="s">
        <v>247</v>
      </c>
      <c r="D111" s="30" t="s">
        <v>38</v>
      </c>
      <c r="E111" s="30" t="s">
        <v>248</v>
      </c>
      <c r="H111" s="30">
        <f>INDEX(пред!$A$1:$F$222,MATCH(итог!A111,пред!$A$1:$A$222,0),4)</f>
        <v>5</v>
      </c>
      <c r="I111" s="30" t="s">
        <v>247</v>
      </c>
      <c r="J111" s="30" t="s">
        <v>38</v>
      </c>
      <c r="L111" s="30">
        <v>51</v>
      </c>
      <c r="M111" s="30">
        <f>INDEX(защ!$A$1:$H$218,MATCH(итог!A111,защ!$A$1:$A$218,0),4)</f>
        <v>5</v>
      </c>
    </row>
    <row r="112" spans="1:13" ht="28.5">
      <c r="A112" s="30" t="s">
        <v>249</v>
      </c>
      <c r="B112" s="30">
        <v>410</v>
      </c>
      <c r="C112" s="30" t="s">
        <v>250</v>
      </c>
      <c r="D112" s="30" t="s">
        <v>251</v>
      </c>
      <c r="H112" s="30">
        <f>INDEX(пред!$A$1:$F$222,MATCH(итог!A112,пред!$A$1:$A$222,0),4)</f>
        <v>5</v>
      </c>
      <c r="I112" s="30" t="s">
        <v>250</v>
      </c>
      <c r="J112" s="30" t="s">
        <v>251</v>
      </c>
      <c r="L112" s="30">
        <v>65</v>
      </c>
      <c r="M112" s="30">
        <f>INDEX(защ!$A$1:$H$218,MATCH(итог!A112,защ!$A$1:$A$218,0),4)</f>
        <v>4</v>
      </c>
    </row>
    <row r="113" spans="1:13" ht="28.5">
      <c r="A113" s="30" t="s">
        <v>252</v>
      </c>
      <c r="B113" s="30">
        <v>410</v>
      </c>
      <c r="C113" s="30" t="s">
        <v>253</v>
      </c>
      <c r="D113" s="30" t="s">
        <v>26</v>
      </c>
      <c r="H113" s="30">
        <f>INDEX(пред!$A$1:$F$222,MATCH(итог!A113,пред!$A$1:$A$222,0),4)</f>
        <v>5</v>
      </c>
      <c r="I113" s="30" t="s">
        <v>320</v>
      </c>
      <c r="J113" s="30" t="s">
        <v>26</v>
      </c>
      <c r="L113" s="30">
        <v>41</v>
      </c>
      <c r="M113" s="30">
        <f>INDEX(защ!$A$1:$H$218,MATCH(итог!A113,защ!$A$1:$A$218,0),4)</f>
        <v>5</v>
      </c>
    </row>
    <row r="114" spans="1:13" ht="28.5">
      <c r="A114" s="30" t="s">
        <v>254</v>
      </c>
      <c r="B114" s="30">
        <v>410</v>
      </c>
      <c r="C114" s="30" t="s">
        <v>255</v>
      </c>
      <c r="D114" s="30" t="s">
        <v>8</v>
      </c>
      <c r="H114" s="30">
        <f>INDEX(пред!$A$1:$F$222,MATCH(итог!A114,пред!$A$1:$A$222,0),4)</f>
        <v>5</v>
      </c>
      <c r="I114" s="30" t="s">
        <v>255</v>
      </c>
      <c r="J114" s="30" t="s">
        <v>8</v>
      </c>
      <c r="L114" s="30">
        <v>54</v>
      </c>
      <c r="M114" s="30">
        <f>INDEX(защ!$A$1:$H$218,MATCH(итог!A114,защ!$A$1:$A$218,0),4)</f>
        <v>4</v>
      </c>
    </row>
    <row r="115" spans="1:13" ht="57">
      <c r="A115" s="30" t="s">
        <v>256</v>
      </c>
      <c r="B115" s="30">
        <v>410</v>
      </c>
      <c r="C115" s="30" t="s">
        <v>257</v>
      </c>
      <c r="D115" s="30" t="s">
        <v>258</v>
      </c>
      <c r="H115" s="30">
        <f>INDEX(пред!$A$1:$F$222,MATCH(итог!A115,пред!$A$1:$A$222,0),4)</f>
        <v>5</v>
      </c>
      <c r="I115" s="30" t="s">
        <v>257</v>
      </c>
      <c r="J115" s="30" t="s">
        <v>258</v>
      </c>
      <c r="L115" s="30">
        <v>61</v>
      </c>
      <c r="M115" s="30">
        <f>INDEX(защ!$A$1:$H$218,MATCH(итог!A115,защ!$A$1:$A$218,0),4)</f>
        <v>3</v>
      </c>
    </row>
    <row r="116" spans="1:13" ht="28.5">
      <c r="A116" s="30" t="s">
        <v>259</v>
      </c>
      <c r="B116" s="30">
        <v>410</v>
      </c>
      <c r="C116" s="30" t="s">
        <v>260</v>
      </c>
      <c r="D116" s="30" t="s">
        <v>11</v>
      </c>
      <c r="H116" s="30">
        <f>INDEX(пред!$A$1:$F$222,MATCH(итог!A116,пред!$A$1:$A$222,0),4)</f>
        <v>5</v>
      </c>
      <c r="I116" s="30" t="s">
        <v>260</v>
      </c>
      <c r="J116" s="30" t="s">
        <v>11</v>
      </c>
      <c r="L116" s="30">
        <v>48</v>
      </c>
      <c r="M116" s="30">
        <f>INDEX(защ!$A$1:$H$218,MATCH(итог!A116,защ!$A$1:$A$218,0),4)</f>
        <v>5</v>
      </c>
    </row>
    <row r="117" spans="1:13" ht="42.75">
      <c r="A117" s="30" t="s">
        <v>261</v>
      </c>
      <c r="B117" s="30">
        <v>410</v>
      </c>
      <c r="C117" s="30" t="s">
        <v>262</v>
      </c>
      <c r="D117" s="30" t="s">
        <v>137</v>
      </c>
      <c r="H117" s="30">
        <f>INDEX(пред!$A$1:$F$222,MATCH(итог!A117,пред!$A$1:$A$222,0),4)</f>
        <v>3</v>
      </c>
      <c r="I117" s="30" t="s">
        <v>262</v>
      </c>
      <c r="J117" s="30" t="s">
        <v>137</v>
      </c>
      <c r="L117" s="30">
        <v>43</v>
      </c>
      <c r="M117" s="30">
        <f>INDEX(защ!$A$1:$H$218,MATCH(итог!A117,защ!$A$1:$A$218,0),4)</f>
        <v>3</v>
      </c>
    </row>
    <row r="118" spans="1:13" ht="42.75">
      <c r="A118" s="30" t="s">
        <v>263</v>
      </c>
      <c r="B118" s="30">
        <v>410</v>
      </c>
      <c r="C118" s="30" t="s">
        <v>321</v>
      </c>
      <c r="D118" s="30" t="s">
        <v>16</v>
      </c>
      <c r="H118" s="30">
        <f>INDEX(пред!$A$1:$F$222,MATCH(итог!A118,пред!$A$1:$A$222,0),4)</f>
        <v>3</v>
      </c>
      <c r="I118" s="30" t="s">
        <v>321</v>
      </c>
      <c r="J118" s="30" t="s">
        <v>16</v>
      </c>
      <c r="L118" s="30">
        <v>44</v>
      </c>
      <c r="M118" s="30">
        <f>INDEX(защ!$A$1:$H$218,MATCH(итог!A118,защ!$A$1:$A$218,0),4)</f>
        <v>3</v>
      </c>
    </row>
    <row r="119" spans="1:13" ht="42.75">
      <c r="A119" s="30" t="s">
        <v>264</v>
      </c>
      <c r="B119" s="30">
        <v>411</v>
      </c>
      <c r="C119" s="30" t="s">
        <v>265</v>
      </c>
      <c r="D119" s="30" t="s">
        <v>266</v>
      </c>
      <c r="H119" s="30">
        <f>INDEX(пред!$A$1:$F$222,MATCH(итог!A119,пред!$A$1:$A$222,0),4)</f>
        <v>4</v>
      </c>
      <c r="I119" s="30" t="s">
        <v>265</v>
      </c>
      <c r="J119" s="30" t="s">
        <v>266</v>
      </c>
      <c r="L119" s="30">
        <v>72</v>
      </c>
      <c r="M119" s="30">
        <f>INDEX(защ!$A$1:$H$218,MATCH(итог!A119,защ!$A$1:$A$218,0),4)</f>
        <v>5</v>
      </c>
    </row>
    <row r="120" spans="1:13" ht="42.75">
      <c r="A120" s="30" t="s">
        <v>267</v>
      </c>
      <c r="B120" s="30">
        <v>411</v>
      </c>
      <c r="C120" s="30" t="s">
        <v>268</v>
      </c>
      <c r="D120" s="30" t="s">
        <v>224</v>
      </c>
      <c r="H120" s="30">
        <f>INDEX(пред!$A$1:$F$222,MATCH(итог!A120,пред!$A$1:$A$222,0),4)</f>
        <v>4</v>
      </c>
      <c r="I120" s="30" t="s">
        <v>268</v>
      </c>
      <c r="J120" s="30" t="s">
        <v>224</v>
      </c>
      <c r="L120" s="30">
        <v>58</v>
      </c>
      <c r="M120" s="30">
        <f>INDEX(защ!$A$1:$H$218,MATCH(итог!A120,защ!$A$1:$A$218,0),4)</f>
        <v>4</v>
      </c>
    </row>
    <row r="121" spans="1:13" ht="42.75">
      <c r="A121" s="30" t="s">
        <v>269</v>
      </c>
      <c r="B121" s="30">
        <v>411</v>
      </c>
      <c r="C121" s="30" t="s">
        <v>270</v>
      </c>
      <c r="D121" s="30" t="s">
        <v>271</v>
      </c>
      <c r="H121" s="30">
        <f>INDEX(пред!$A$1:$F$222,MATCH(итог!A121,пред!$A$1:$A$222,0),4)</f>
        <v>3</v>
      </c>
      <c r="I121" s="30" t="s">
        <v>270</v>
      </c>
      <c r="J121" s="30" t="s">
        <v>271</v>
      </c>
      <c r="L121" s="30">
        <v>40</v>
      </c>
      <c r="M121" s="30">
        <f>INDEX(защ!$A$1:$H$218,MATCH(итог!A121,защ!$A$1:$A$218,0),4)</f>
        <v>4</v>
      </c>
    </row>
    <row r="122" spans="1:13" ht="42.75">
      <c r="A122" s="30" t="s">
        <v>272</v>
      </c>
      <c r="B122" s="30">
        <v>411</v>
      </c>
      <c r="C122" s="30" t="s">
        <v>322</v>
      </c>
      <c r="D122" s="30" t="s">
        <v>266</v>
      </c>
      <c r="E122" s="30" t="s">
        <v>143</v>
      </c>
      <c r="H122" s="30">
        <f>INDEX(пред!$A$1:$F$222,MATCH(итог!A122,пред!$A$1:$A$222,0),4)</f>
        <v>3</v>
      </c>
      <c r="I122" s="30" t="s">
        <v>322</v>
      </c>
      <c r="J122" s="30" t="s">
        <v>266</v>
      </c>
      <c r="L122" s="30">
        <v>43</v>
      </c>
      <c r="M122" s="30">
        <f>INDEX(защ!$A$1:$H$218,MATCH(итог!A122,защ!$A$1:$A$218,0),4)</f>
        <v>5</v>
      </c>
    </row>
    <row r="123" spans="1:13" ht="42.75">
      <c r="A123" s="30" t="s">
        <v>273</v>
      </c>
      <c r="B123" s="30">
        <v>411</v>
      </c>
      <c r="C123" s="30" t="s">
        <v>274</v>
      </c>
      <c r="D123" s="30" t="s">
        <v>271</v>
      </c>
      <c r="H123" s="30">
        <f>INDEX(пред!$A$1:$F$222,MATCH(итог!A123,пред!$A$1:$A$222,0),4)</f>
        <v>3</v>
      </c>
      <c r="I123" s="30" t="s">
        <v>274</v>
      </c>
      <c r="J123" s="30" t="s">
        <v>271</v>
      </c>
      <c r="L123" s="30">
        <v>42</v>
      </c>
      <c r="M123" s="30">
        <f>INDEX(защ!$A$1:$H$218,MATCH(итог!A123,защ!$A$1:$A$218,0),4)</f>
        <v>4</v>
      </c>
    </row>
    <row r="124" spans="1:13" ht="57">
      <c r="A124" s="30" t="s">
        <v>275</v>
      </c>
      <c r="B124" s="30">
        <v>411</v>
      </c>
      <c r="C124" s="30" t="s">
        <v>323</v>
      </c>
      <c r="D124" s="30" t="s">
        <v>224</v>
      </c>
      <c r="H124" s="30">
        <f>INDEX(пред!$A$1:$F$222,MATCH(итог!A124,пред!$A$1:$A$222,0),4)</f>
        <v>5</v>
      </c>
      <c r="I124" s="30" t="s">
        <v>323</v>
      </c>
      <c r="J124" s="30" t="s">
        <v>224</v>
      </c>
      <c r="L124" s="30">
        <v>60</v>
      </c>
      <c r="M124" s="30">
        <f>INDEX(защ!$A$1:$H$218,MATCH(итог!A124,защ!$A$1:$A$218,0),4)</f>
        <v>5</v>
      </c>
    </row>
    <row r="125" spans="1:13" ht="42.75">
      <c r="A125" s="30" t="s">
        <v>276</v>
      </c>
      <c r="B125" s="30">
        <v>411</v>
      </c>
      <c r="C125" s="30" t="s">
        <v>277</v>
      </c>
      <c r="D125" s="30" t="s">
        <v>46</v>
      </c>
      <c r="H125" s="30">
        <f>INDEX(пред!$A$1:$F$222,MATCH(итог!A125,пред!$A$1:$A$222,0),4)</f>
        <v>4</v>
      </c>
      <c r="I125" s="30" t="s">
        <v>277</v>
      </c>
      <c r="J125" s="30" t="s">
        <v>46</v>
      </c>
      <c r="L125" s="30">
        <v>71</v>
      </c>
      <c r="M125" s="30">
        <f>INDEX(защ!$A$1:$H$218,MATCH(итог!A125,защ!$A$1:$A$218,0),4)</f>
        <v>4</v>
      </c>
    </row>
    <row r="126" spans="1:13" ht="42.75">
      <c r="A126" s="30" t="s">
        <v>278</v>
      </c>
      <c r="B126" s="30">
        <v>411</v>
      </c>
      <c r="C126" s="30" t="s">
        <v>279</v>
      </c>
      <c r="D126" s="30" t="s">
        <v>266</v>
      </c>
      <c r="H126" s="30">
        <f>INDEX(пред!$A$1:$F$222,MATCH(итог!A126,пред!$A$1:$A$222,0),4)</f>
        <v>4</v>
      </c>
      <c r="I126" s="30" t="s">
        <v>279</v>
      </c>
      <c r="J126" s="30" t="s">
        <v>266</v>
      </c>
      <c r="L126" s="30">
        <v>56</v>
      </c>
      <c r="M126" s="30">
        <f>INDEX(защ!$A$1:$H$218,MATCH(итог!A126,защ!$A$1:$A$218,0),4)</f>
        <v>5</v>
      </c>
    </row>
    <row r="127" spans="1:13" ht="42.75">
      <c r="A127" s="30" t="s">
        <v>280</v>
      </c>
      <c r="B127" s="30">
        <v>411</v>
      </c>
      <c r="C127" s="30" t="s">
        <v>281</v>
      </c>
      <c r="D127" s="30" t="s">
        <v>266</v>
      </c>
      <c r="E127" s="30" t="s">
        <v>143</v>
      </c>
      <c r="H127" s="30">
        <f>INDEX(пред!$A$1:$F$222,MATCH(итог!A127,пред!$A$1:$A$222,0),4)</f>
        <v>4</v>
      </c>
      <c r="I127" s="30" t="s">
        <v>281</v>
      </c>
      <c r="J127" s="30" t="s">
        <v>266</v>
      </c>
      <c r="L127" s="30">
        <v>40</v>
      </c>
      <c r="M127" s="30">
        <f>INDEX(защ!$A$1:$H$218,MATCH(итог!A127,защ!$A$1:$A$218,0),4)</f>
        <v>5</v>
      </c>
    </row>
    <row r="128" spans="1:13" ht="42.75">
      <c r="A128" s="30" t="s">
        <v>282</v>
      </c>
      <c r="B128" s="30">
        <v>411</v>
      </c>
      <c r="C128" s="30" t="s">
        <v>283</v>
      </c>
      <c r="D128" s="30" t="s">
        <v>266</v>
      </c>
      <c r="H128" s="30">
        <f>INDEX(пред!$A$1:$F$222,MATCH(итог!A128,пред!$A$1:$A$222,0),4)</f>
        <v>5</v>
      </c>
      <c r="I128" s="30" t="s">
        <v>283</v>
      </c>
      <c r="J128" s="30" t="s">
        <v>266</v>
      </c>
      <c r="L128" s="30">
        <v>43</v>
      </c>
      <c r="M128" s="30">
        <f>INDEX(защ!$A$1:$H$218,MATCH(итог!A128,защ!$A$1:$A$218,0),4)</f>
        <v>5</v>
      </c>
    </row>
    <row r="129" spans="1:13" ht="42.75">
      <c r="A129" s="30" t="s">
        <v>284</v>
      </c>
      <c r="B129" s="30">
        <v>411</v>
      </c>
      <c r="C129" s="30" t="s">
        <v>285</v>
      </c>
      <c r="D129" s="30" t="s">
        <v>41</v>
      </c>
      <c r="E129" s="30" t="s">
        <v>286</v>
      </c>
      <c r="H129" s="30">
        <f>INDEX(пред!$A$1:$F$222,MATCH(итог!A129,пред!$A$1:$A$222,0),4)</f>
        <v>5</v>
      </c>
      <c r="I129" s="30" t="s">
        <v>285</v>
      </c>
      <c r="J129" s="30" t="s">
        <v>41</v>
      </c>
      <c r="L129" s="30">
        <v>47</v>
      </c>
      <c r="M129" s="30">
        <f>INDEX(защ!$A$1:$H$218,MATCH(итог!A129,защ!$A$1:$A$218,0),4)</f>
        <v>5</v>
      </c>
    </row>
    <row r="130" spans="1:13" ht="28.5">
      <c r="A130" s="30" t="s">
        <v>287</v>
      </c>
      <c r="B130" s="30">
        <v>411</v>
      </c>
      <c r="C130" s="30" t="s">
        <v>288</v>
      </c>
      <c r="D130" s="30" t="s">
        <v>100</v>
      </c>
      <c r="H130" s="30">
        <f>INDEX(пред!$A$1:$F$222,MATCH(итог!A130,пред!$A$1:$A$222,0),4)</f>
        <v>4</v>
      </c>
      <c r="I130" s="30" t="s">
        <v>288</v>
      </c>
      <c r="J130" s="30" t="s">
        <v>100</v>
      </c>
      <c r="L130" s="30">
        <v>46</v>
      </c>
      <c r="M130" s="30">
        <f>INDEX(защ!$A$1:$H$218,MATCH(итог!A130,защ!$A$1:$A$218,0),4)</f>
        <v>4</v>
      </c>
    </row>
    <row r="131" spans="1:13" ht="28.5">
      <c r="A131" s="30" t="s">
        <v>289</v>
      </c>
      <c r="B131" s="30">
        <v>411</v>
      </c>
      <c r="C131" s="30" t="s">
        <v>290</v>
      </c>
      <c r="D131" s="30" t="s">
        <v>100</v>
      </c>
      <c r="H131" s="30">
        <f>INDEX(пред!$A$1:$F$222,MATCH(итог!A131,пред!$A$1:$A$222,0),4)</f>
        <v>4</v>
      </c>
      <c r="I131" s="30" t="s">
        <v>290</v>
      </c>
      <c r="J131" s="30" t="s">
        <v>100</v>
      </c>
      <c r="L131" s="30">
        <v>52</v>
      </c>
      <c r="M131" s="30">
        <f>INDEX(защ!$A$1:$H$218,MATCH(итог!A131,защ!$A$1:$A$218,0),4)</f>
        <v>5</v>
      </c>
    </row>
    <row r="132" spans="1:13" ht="28.5">
      <c r="A132" s="30" t="s">
        <v>291</v>
      </c>
      <c r="B132" s="30">
        <v>411</v>
      </c>
      <c r="C132" s="30" t="s">
        <v>292</v>
      </c>
      <c r="D132" s="30" t="s">
        <v>11</v>
      </c>
      <c r="H132" s="30">
        <f>INDEX(пред!$A$1:$F$222,MATCH(итог!A132,пред!$A$1:$A$222,0),4)</f>
        <v>4</v>
      </c>
      <c r="I132" s="30" t="s">
        <v>292</v>
      </c>
      <c r="J132" s="30" t="s">
        <v>11</v>
      </c>
      <c r="L132" s="30">
        <v>45</v>
      </c>
      <c r="M132" s="30">
        <f>INDEX(защ!$A$1:$H$218,MATCH(итог!A132,защ!$A$1:$A$218,0),4)</f>
        <v>5</v>
      </c>
    </row>
    <row r="133" spans="1:13" ht="42.75">
      <c r="A133" s="30" t="s">
        <v>293</v>
      </c>
      <c r="B133" s="30">
        <v>411</v>
      </c>
      <c r="C133" s="30" t="s">
        <v>294</v>
      </c>
      <c r="D133" s="30" t="s">
        <v>266</v>
      </c>
      <c r="H133" s="30">
        <f>INDEX(пред!$A$1:$F$222,MATCH(итог!A133,пред!$A$1:$A$222,0),4)</f>
        <v>5</v>
      </c>
      <c r="I133" s="30" t="s">
        <v>294</v>
      </c>
      <c r="J133" s="30" t="s">
        <v>266</v>
      </c>
      <c r="L133" s="30">
        <v>68</v>
      </c>
      <c r="M133" s="30">
        <f>INDEX(защ!$A$1:$H$218,MATCH(итог!A133,защ!$A$1:$A$218,0),4)</f>
        <v>5</v>
      </c>
    </row>
    <row r="134" spans="1:13" ht="42.75">
      <c r="A134" s="30" t="s">
        <v>295</v>
      </c>
      <c r="B134" s="30">
        <v>411</v>
      </c>
      <c r="C134" s="30" t="s">
        <v>296</v>
      </c>
      <c r="D134" s="30" t="s">
        <v>11</v>
      </c>
      <c r="H134" s="30">
        <f>INDEX(пред!$A$1:$F$222,MATCH(итог!A134,пред!$A$1:$A$222,0),4)</f>
        <v>4</v>
      </c>
      <c r="I134" s="30" t="s">
        <v>296</v>
      </c>
      <c r="J134" s="30" t="s">
        <v>11</v>
      </c>
      <c r="L134" s="30">
        <v>55</v>
      </c>
      <c r="M134" s="30">
        <f>INDEX(защ!$A$1:$H$218,MATCH(итог!A134,защ!$A$1:$A$218,0),4)</f>
        <v>5</v>
      </c>
    </row>
    <row r="135" spans="1:13" ht="42.75">
      <c r="A135" s="30" t="s">
        <v>297</v>
      </c>
      <c r="B135" s="30">
        <v>411</v>
      </c>
      <c r="C135" s="30" t="s">
        <v>298</v>
      </c>
      <c r="D135" s="30" t="s">
        <v>299</v>
      </c>
      <c r="H135" s="30">
        <f>INDEX(пред!$A$1:$F$222,MATCH(итог!A135,пред!$A$1:$A$222,0),4)</f>
        <v>4</v>
      </c>
      <c r="I135" s="30" t="s">
        <v>298</v>
      </c>
      <c r="J135" s="30" t="s">
        <v>299</v>
      </c>
      <c r="L135" s="30">
        <v>64</v>
      </c>
      <c r="M135" s="30">
        <f>INDEX(защ!$A$1:$H$218,MATCH(итог!A135,защ!$A$1:$A$218,0),4)</f>
        <v>5</v>
      </c>
    </row>
    <row r="136" spans="1:13" ht="42.75">
      <c r="A136" s="30" t="s">
        <v>300</v>
      </c>
      <c r="B136" s="30">
        <v>411</v>
      </c>
      <c r="C136" s="30" t="s">
        <v>301</v>
      </c>
      <c r="D136" s="30" t="s">
        <v>266</v>
      </c>
      <c r="H136" s="30">
        <f>INDEX(пред!$A$1:$F$222,MATCH(итог!A136,пред!$A$1:$A$222,0),4)</f>
        <v>4</v>
      </c>
      <c r="I136" s="30" t="s">
        <v>301</v>
      </c>
      <c r="J136" s="30" t="s">
        <v>266</v>
      </c>
      <c r="L136" s="30">
        <v>46</v>
      </c>
      <c r="M136" s="30">
        <f>INDEX(защ!$A$1:$H$218,MATCH(итог!A136,защ!$A$1:$A$218,0),4)</f>
        <v>5</v>
      </c>
    </row>
    <row r="137" spans="1:13" ht="28.5">
      <c r="A137" s="30" t="s">
        <v>302</v>
      </c>
      <c r="B137" s="30">
        <v>411</v>
      </c>
      <c r="C137" s="30" t="s">
        <v>303</v>
      </c>
      <c r="D137" s="30" t="s">
        <v>224</v>
      </c>
      <c r="H137" s="30">
        <f>INDEX(пред!$A$1:$F$222,MATCH(итог!A137,пред!$A$1:$A$222,0),4)</f>
        <v>5</v>
      </c>
      <c r="I137" s="30" t="s">
        <v>303</v>
      </c>
      <c r="J137" s="30" t="s">
        <v>224</v>
      </c>
      <c r="L137" s="30">
        <v>73</v>
      </c>
      <c r="M137" s="30">
        <f>INDEX(защ!$A$1:$H$218,MATCH(итог!A137,защ!$A$1:$A$218,0),4)</f>
        <v>5</v>
      </c>
    </row>
    <row r="138" spans="1:13" ht="57">
      <c r="A138" s="30" t="s">
        <v>337</v>
      </c>
      <c r="B138" s="30">
        <v>206</v>
      </c>
      <c r="C138" s="30" t="s">
        <v>338</v>
      </c>
      <c r="D138" s="30" t="s">
        <v>8</v>
      </c>
      <c r="F138" s="30" t="s">
        <v>545</v>
      </c>
      <c r="H138" s="30">
        <f>INDEX(пред!$A$1:$F$222,MATCH(итог!A138,пред!$A$1:$A$222,0),4)</f>
        <v>3</v>
      </c>
      <c r="I138" s="30" t="s">
        <v>338</v>
      </c>
      <c r="J138" s="30" t="s">
        <v>8</v>
      </c>
      <c r="L138" s="30">
        <v>81</v>
      </c>
      <c r="M138" s="30" t="e">
        <f>INDEX(защ!$A$1:$H$218,MATCH(итог!A138,защ!$A$1:$A$218,0),4)</f>
        <v>#N/A</v>
      </c>
    </row>
    <row r="139" spans="1:13" ht="28.5">
      <c r="A139" s="30" t="s">
        <v>339</v>
      </c>
      <c r="B139" s="30">
        <v>206</v>
      </c>
      <c r="C139" s="30" t="s">
        <v>340</v>
      </c>
      <c r="D139" s="30" t="s">
        <v>341</v>
      </c>
      <c r="G139" s="30" t="s">
        <v>596</v>
      </c>
      <c r="H139" s="30" t="e">
        <f>INDEX(пред!$A$1:$F$222,MATCH(итог!A139,пред!$A$1:$A$222,0),4)</f>
        <v>#N/A</v>
      </c>
      <c r="I139" s="30" t="s">
        <v>340</v>
      </c>
      <c r="J139" s="30" t="s">
        <v>341</v>
      </c>
      <c r="K139" s="30" t="s">
        <v>599</v>
      </c>
      <c r="M139" s="30" t="e">
        <f>INDEX(защ!$A$1:$H$218,MATCH(итог!A139,защ!$A$1:$A$218,0),4)</f>
        <v>#N/A</v>
      </c>
    </row>
    <row r="140" spans="1:13" ht="57">
      <c r="A140" s="30" t="s">
        <v>342</v>
      </c>
      <c r="B140" s="30">
        <v>206</v>
      </c>
      <c r="C140" s="30" t="s">
        <v>343</v>
      </c>
      <c r="D140" s="30" t="s">
        <v>41</v>
      </c>
      <c r="E140" s="30" t="s">
        <v>30</v>
      </c>
      <c r="F140" s="30" t="s">
        <v>546</v>
      </c>
      <c r="H140" s="30">
        <f>INDEX(пред!$A$1:$F$222,MATCH(итог!A140,пред!$A$1:$A$222,0),4)</f>
        <v>4</v>
      </c>
      <c r="I140" s="30" t="s">
        <v>343</v>
      </c>
      <c r="J140" s="30" t="s">
        <v>41</v>
      </c>
      <c r="L140" s="30">
        <v>73</v>
      </c>
      <c r="M140" s="30" t="e">
        <f>INDEX(защ!$A$1:$H$218,MATCH(итог!A140,защ!$A$1:$A$218,0),4)</f>
        <v>#N/A</v>
      </c>
    </row>
    <row r="141" spans="1:13" ht="71.25">
      <c r="A141" s="30" t="s">
        <v>344</v>
      </c>
      <c r="B141" s="30">
        <v>206</v>
      </c>
      <c r="C141" s="30" t="s">
        <v>345</v>
      </c>
      <c r="D141" s="30" t="s">
        <v>346</v>
      </c>
      <c r="F141" s="30" t="s">
        <v>547</v>
      </c>
      <c r="H141" s="30">
        <f>INDEX(пред!$A$1:$F$222,MATCH(итог!A141,пред!$A$1:$A$222,0),4)</f>
        <v>5</v>
      </c>
      <c r="I141" s="30" t="s">
        <v>345</v>
      </c>
      <c r="J141" s="30" t="s">
        <v>346</v>
      </c>
      <c r="L141" s="30">
        <v>55</v>
      </c>
      <c r="M141" s="30" t="e">
        <f>INDEX(защ!$A$1:$H$218,MATCH(итог!A141,защ!$A$1:$A$218,0),4)</f>
        <v>#N/A</v>
      </c>
    </row>
    <row r="142" spans="1:13" ht="57">
      <c r="A142" s="30" t="s">
        <v>347</v>
      </c>
      <c r="B142" s="30">
        <v>206</v>
      </c>
      <c r="C142" s="30" t="s">
        <v>348</v>
      </c>
      <c r="D142" s="30" t="s">
        <v>41</v>
      </c>
      <c r="F142" s="30" t="s">
        <v>548</v>
      </c>
      <c r="H142" s="30">
        <f>INDEX(пред!$A$1:$F$222,MATCH(итог!A142,пред!$A$1:$A$222,0),4)</f>
        <v>4</v>
      </c>
      <c r="I142" s="30" t="s">
        <v>348</v>
      </c>
      <c r="J142" s="30" t="s">
        <v>41</v>
      </c>
      <c r="L142" s="30">
        <v>118</v>
      </c>
      <c r="M142" s="30" t="e">
        <f>INDEX(защ!$A$1:$H$218,MATCH(итог!A142,защ!$A$1:$A$218,0),4)</f>
        <v>#N/A</v>
      </c>
    </row>
    <row r="143" spans="1:13" ht="57">
      <c r="A143" s="30" t="s">
        <v>349</v>
      </c>
      <c r="B143" s="30">
        <v>207</v>
      </c>
      <c r="C143" s="30" t="s">
        <v>350</v>
      </c>
      <c r="D143" s="30" t="s">
        <v>346</v>
      </c>
      <c r="F143" s="30" t="s">
        <v>549</v>
      </c>
      <c r="H143" s="30">
        <f>INDEX(пред!$A$1:$F$222,MATCH(итог!A143,пред!$A$1:$A$222,0),4)</f>
        <v>4</v>
      </c>
      <c r="I143" s="30" t="s">
        <v>350</v>
      </c>
      <c r="J143" s="30" t="s">
        <v>346</v>
      </c>
      <c r="L143" s="30">
        <v>49</v>
      </c>
      <c r="M143" s="30">
        <f>INDEX(защ!$A$1:$H$218,MATCH(итог!A143,защ!$A$1:$A$218,0),4)</f>
        <v>5</v>
      </c>
    </row>
    <row r="144" spans="1:13" ht="57">
      <c r="A144" s="30" t="s">
        <v>351</v>
      </c>
      <c r="B144" s="30">
        <v>207</v>
      </c>
      <c r="C144" s="30" t="s">
        <v>352</v>
      </c>
      <c r="D144" s="30" t="s">
        <v>8</v>
      </c>
      <c r="E144" s="30" t="s">
        <v>537</v>
      </c>
      <c r="G144" s="30" t="s">
        <v>596</v>
      </c>
      <c r="H144" s="30" t="e">
        <f>INDEX(пред!$A$1:$F$222,MATCH(итог!A144,пред!$A$1:$A$222,0),4)</f>
        <v>#N/A</v>
      </c>
      <c r="I144" s="30" t="s">
        <v>352</v>
      </c>
      <c r="J144" s="30" t="s">
        <v>8</v>
      </c>
      <c r="K144" s="30" t="s">
        <v>599</v>
      </c>
      <c r="M144" s="30" t="e">
        <f>INDEX(защ!$A$1:$H$218,MATCH(итог!A144,защ!$A$1:$A$218,0),4)</f>
        <v>#N/A</v>
      </c>
    </row>
    <row r="145" spans="1:13" ht="28.5">
      <c r="A145" s="30" t="s">
        <v>353</v>
      </c>
      <c r="B145" s="30">
        <v>207</v>
      </c>
      <c r="C145" s="30" t="s">
        <v>354</v>
      </c>
      <c r="D145" s="30" t="s">
        <v>8</v>
      </c>
      <c r="E145" s="30" t="s">
        <v>537</v>
      </c>
      <c r="G145" s="30" t="s">
        <v>596</v>
      </c>
      <c r="H145" s="30" t="e">
        <f>INDEX(пред!$A$1:$F$222,MATCH(итог!A145,пред!$A$1:$A$222,0),4)</f>
        <v>#N/A</v>
      </c>
      <c r="I145" s="30" t="s">
        <v>354</v>
      </c>
      <c r="J145" s="30" t="s">
        <v>8</v>
      </c>
      <c r="K145" s="30" t="s">
        <v>599</v>
      </c>
      <c r="M145" s="30" t="e">
        <f>INDEX(защ!$A$1:$H$218,MATCH(итог!A145,защ!$A$1:$A$218,0),4)</f>
        <v>#N/A</v>
      </c>
    </row>
    <row r="146" spans="1:13" ht="99.75">
      <c r="A146" s="30" t="s">
        <v>355</v>
      </c>
      <c r="B146" s="30">
        <v>207</v>
      </c>
      <c r="C146" s="30" t="s">
        <v>356</v>
      </c>
      <c r="D146" s="30" t="s">
        <v>121</v>
      </c>
      <c r="F146" s="30" t="s">
        <v>550</v>
      </c>
      <c r="H146" s="30">
        <f>INDEX(пред!$A$1:$F$222,MATCH(итог!A146,пред!$A$1:$A$222,0),4)</f>
        <v>3</v>
      </c>
      <c r="I146" s="30" t="s">
        <v>356</v>
      </c>
      <c r="J146" s="30" t="s">
        <v>121</v>
      </c>
      <c r="L146" s="30">
        <v>96</v>
      </c>
      <c r="M146" s="30">
        <f>INDEX(защ!$A$1:$H$218,MATCH(итог!A146,защ!$A$1:$A$218,0),4)</f>
        <v>4</v>
      </c>
    </row>
    <row r="147" spans="1:13" ht="28.5">
      <c r="A147" s="30" t="s">
        <v>357</v>
      </c>
      <c r="B147" s="30">
        <v>207</v>
      </c>
      <c r="C147" s="30" t="s">
        <v>358</v>
      </c>
      <c r="D147" s="30" t="s">
        <v>258</v>
      </c>
      <c r="F147" s="30" t="s">
        <v>551</v>
      </c>
      <c r="H147" s="30">
        <f>INDEX(пред!$A$1:$F$222,MATCH(итог!A147,пред!$A$1:$A$222,0),4)</f>
        <v>5</v>
      </c>
      <c r="I147" s="30" t="s">
        <v>358</v>
      </c>
      <c r="J147" s="30" t="s">
        <v>258</v>
      </c>
      <c r="L147" s="30">
        <v>76</v>
      </c>
      <c r="M147" s="30">
        <f>INDEX(защ!$A$1:$H$218,MATCH(итог!A147,защ!$A$1:$A$218,0),4)</f>
        <v>5</v>
      </c>
    </row>
    <row r="148" spans="1:13" ht="42.75">
      <c r="A148" s="30" t="s">
        <v>359</v>
      </c>
      <c r="B148" s="30">
        <v>207</v>
      </c>
      <c r="C148" s="30" t="s">
        <v>360</v>
      </c>
      <c r="D148" s="30" t="s">
        <v>251</v>
      </c>
      <c r="F148" s="30" t="s">
        <v>552</v>
      </c>
      <c r="H148" s="30">
        <f>INDEX(пред!$A$1:$F$222,MATCH(итог!A148,пред!$A$1:$A$222,0),4)</f>
        <v>4</v>
      </c>
      <c r="I148" s="30" t="s">
        <v>360</v>
      </c>
      <c r="J148" s="30" t="s">
        <v>251</v>
      </c>
      <c r="L148" s="30">
        <v>62</v>
      </c>
      <c r="M148" s="30">
        <f>INDEX(защ!$A$1:$H$218,MATCH(итог!A148,защ!$A$1:$A$218,0),4)</f>
        <v>5</v>
      </c>
    </row>
    <row r="149" spans="1:13" ht="57">
      <c r="A149" s="30" t="s">
        <v>361</v>
      </c>
      <c r="B149" s="30">
        <v>207</v>
      </c>
      <c r="C149" s="30" t="s">
        <v>362</v>
      </c>
      <c r="D149" s="30" t="s">
        <v>164</v>
      </c>
      <c r="F149" s="30" t="s">
        <v>545</v>
      </c>
      <c r="G149" s="30" t="s">
        <v>597</v>
      </c>
      <c r="H149" s="30">
        <f>INDEX(пред!$A$1:$F$222,MATCH(итог!A149,пред!$A$1:$A$222,0),4)</f>
        <v>5</v>
      </c>
      <c r="I149" s="30" t="s">
        <v>362</v>
      </c>
      <c r="J149" s="30" t="s">
        <v>164</v>
      </c>
      <c r="L149" s="30">
        <v>58</v>
      </c>
      <c r="M149" s="30">
        <f>INDEX(защ!$A$1:$H$218,MATCH(итог!A149,защ!$A$1:$A$218,0),4)</f>
        <v>4</v>
      </c>
    </row>
    <row r="150" spans="1:13" ht="57">
      <c r="A150" s="30" t="s">
        <v>363</v>
      </c>
      <c r="B150" s="30">
        <v>207</v>
      </c>
      <c r="C150" s="30" t="s">
        <v>364</v>
      </c>
      <c r="D150" s="30" t="s">
        <v>164</v>
      </c>
      <c r="F150" s="30" t="s">
        <v>553</v>
      </c>
      <c r="H150" s="30">
        <f>INDEX(пред!$A$1:$F$222,MATCH(итог!A150,пред!$A$1:$A$222,0),4)</f>
        <v>5</v>
      </c>
      <c r="I150" s="30" t="s">
        <v>364</v>
      </c>
      <c r="J150" s="30" t="s">
        <v>164</v>
      </c>
      <c r="L150" s="30">
        <v>71</v>
      </c>
      <c r="M150" s="30">
        <f>INDEX(защ!$A$1:$H$218,MATCH(итог!A150,защ!$A$1:$A$218,0),4)</f>
        <v>4</v>
      </c>
    </row>
    <row r="151" spans="1:13" ht="42.75">
      <c r="A151" s="30" t="s">
        <v>365</v>
      </c>
      <c r="B151" s="30">
        <v>207</v>
      </c>
      <c r="C151" s="30" t="s">
        <v>366</v>
      </c>
      <c r="D151" s="30" t="s">
        <v>121</v>
      </c>
      <c r="F151" s="30" t="s">
        <v>554</v>
      </c>
      <c r="H151" s="30">
        <f>INDEX(пред!$A$1:$F$222,MATCH(итог!A151,пред!$A$1:$A$222,0),4)</f>
        <v>4</v>
      </c>
      <c r="I151" s="30" t="s">
        <v>366</v>
      </c>
      <c r="J151" s="30" t="s">
        <v>121</v>
      </c>
      <c r="L151" s="30">
        <v>50</v>
      </c>
      <c r="M151" s="30">
        <f>INDEX(защ!$A$1:$H$218,MATCH(итог!A151,защ!$A$1:$A$218,0),4)</f>
        <v>5</v>
      </c>
    </row>
    <row r="152" spans="1:13" ht="57">
      <c r="A152" s="30" t="s">
        <v>367</v>
      </c>
      <c r="B152" s="30">
        <v>208</v>
      </c>
      <c r="C152" s="30" t="s">
        <v>368</v>
      </c>
      <c r="D152" s="30" t="s">
        <v>266</v>
      </c>
      <c r="E152" s="30" t="s">
        <v>30</v>
      </c>
      <c r="F152" s="30" t="s">
        <v>555</v>
      </c>
      <c r="H152" s="30">
        <f>INDEX(пред!$A$1:$F$222,MATCH(итог!A152,пред!$A$1:$A$222,0),4)</f>
        <v>4</v>
      </c>
      <c r="I152" s="30" t="s">
        <v>368</v>
      </c>
      <c r="J152" s="30" t="s">
        <v>266</v>
      </c>
      <c r="L152" s="30">
        <v>134</v>
      </c>
      <c r="M152" s="30">
        <f>INDEX(защ!$A$1:$H$218,MATCH(итог!A152,защ!$A$1:$A$218,0),4)</f>
        <v>4</v>
      </c>
    </row>
    <row r="153" spans="1:13" ht="42.75">
      <c r="A153" s="30" t="s">
        <v>369</v>
      </c>
      <c r="B153" s="30">
        <v>208</v>
      </c>
      <c r="C153" s="30" t="s">
        <v>370</v>
      </c>
      <c r="D153" s="30" t="s">
        <v>74</v>
      </c>
      <c r="F153" s="30" t="s">
        <v>556</v>
      </c>
      <c r="H153" s="30">
        <f>INDEX(пред!$A$1:$F$222,MATCH(итог!A153,пред!$A$1:$A$222,0),4)</f>
        <v>3</v>
      </c>
      <c r="I153" s="30" t="s">
        <v>370</v>
      </c>
      <c r="J153" s="30" t="s">
        <v>74</v>
      </c>
      <c r="L153" s="30">
        <v>71</v>
      </c>
      <c r="M153" s="30">
        <f>INDEX(защ!$A$1:$H$218,MATCH(итог!A153,защ!$A$1:$A$218,0),4)</f>
        <v>4</v>
      </c>
    </row>
    <row r="154" spans="1:13" ht="57">
      <c r="A154" s="30" t="s">
        <v>371</v>
      </c>
      <c r="B154" s="30">
        <v>208</v>
      </c>
      <c r="C154" s="30" t="s">
        <v>372</v>
      </c>
      <c r="D154" s="30" t="s">
        <v>100</v>
      </c>
      <c r="F154" s="30" t="s">
        <v>557</v>
      </c>
      <c r="H154" s="30">
        <f>INDEX(пред!$A$1:$F$222,MATCH(итог!A154,пред!$A$1:$A$222,0),4)</f>
        <v>4</v>
      </c>
      <c r="I154" s="30" t="s">
        <v>372</v>
      </c>
      <c r="J154" s="30" t="s">
        <v>100</v>
      </c>
      <c r="L154" s="30">
        <v>49</v>
      </c>
      <c r="M154" s="30">
        <f>INDEX(защ!$A$1:$H$218,MATCH(итог!A154,защ!$A$1:$A$218,0),4)</f>
        <v>5</v>
      </c>
    </row>
    <row r="155" spans="1:13" ht="42.75">
      <c r="A155" s="30" t="s">
        <v>373</v>
      </c>
      <c r="B155" s="30">
        <v>208</v>
      </c>
      <c r="C155" s="30" t="s">
        <v>374</v>
      </c>
      <c r="D155" s="30" t="s">
        <v>100</v>
      </c>
      <c r="E155" s="30" t="s">
        <v>30</v>
      </c>
      <c r="F155" s="30" t="s">
        <v>558</v>
      </c>
      <c r="H155" s="30">
        <f>INDEX(пред!$A$1:$F$222,MATCH(итог!A155,пред!$A$1:$A$222,0),4)</f>
        <v>4</v>
      </c>
      <c r="I155" s="30" t="s">
        <v>374</v>
      </c>
      <c r="J155" s="30" t="s">
        <v>100</v>
      </c>
      <c r="L155" s="30">
        <v>58</v>
      </c>
      <c r="M155" s="30">
        <f>INDEX(защ!$A$1:$H$218,MATCH(итог!A155,защ!$A$1:$A$218,0),4)</f>
        <v>4</v>
      </c>
    </row>
    <row r="156" spans="1:13" ht="57">
      <c r="A156" s="30" t="s">
        <v>375</v>
      </c>
      <c r="B156" s="30">
        <v>208</v>
      </c>
      <c r="C156" s="30" t="s">
        <v>376</v>
      </c>
      <c r="D156" s="30" t="s">
        <v>100</v>
      </c>
      <c r="F156" s="30" t="s">
        <v>559</v>
      </c>
      <c r="H156" s="30">
        <f>INDEX(пред!$A$1:$F$222,MATCH(итог!A156,пред!$A$1:$A$222,0),4)</f>
        <v>4</v>
      </c>
      <c r="I156" s="30" t="s">
        <v>376</v>
      </c>
      <c r="J156" s="30" t="s">
        <v>100</v>
      </c>
      <c r="L156" s="30">
        <v>46</v>
      </c>
      <c r="M156" s="30">
        <f>INDEX(защ!$A$1:$H$218,MATCH(итог!A156,защ!$A$1:$A$218,0),4)</f>
        <v>4</v>
      </c>
    </row>
    <row r="157" spans="1:13" ht="57">
      <c r="A157" s="30" t="s">
        <v>377</v>
      </c>
      <c r="B157" s="30">
        <v>208</v>
      </c>
      <c r="C157" s="30" t="s">
        <v>378</v>
      </c>
      <c r="D157" s="30" t="s">
        <v>100</v>
      </c>
      <c r="F157" s="30" t="s">
        <v>557</v>
      </c>
      <c r="H157" s="30">
        <f>INDEX(пред!$A$1:$F$222,MATCH(итог!A157,пред!$A$1:$A$222,0),4)</f>
        <v>3</v>
      </c>
      <c r="I157" s="30" t="s">
        <v>378</v>
      </c>
      <c r="J157" s="30" t="s">
        <v>100</v>
      </c>
      <c r="L157" s="30">
        <v>48</v>
      </c>
      <c r="M157" s="30">
        <f>INDEX(защ!$A$1:$H$218,MATCH(итог!A157,защ!$A$1:$A$218,0),4)</f>
        <v>4</v>
      </c>
    </row>
    <row r="158" spans="1:13" ht="85.5">
      <c r="A158" s="30" t="s">
        <v>379</v>
      </c>
      <c r="B158" s="30">
        <v>208</v>
      </c>
      <c r="C158" s="30" t="s">
        <v>380</v>
      </c>
      <c r="D158" s="30" t="s">
        <v>8</v>
      </c>
      <c r="F158" s="30" t="s">
        <v>560</v>
      </c>
      <c r="H158" s="30" t="e">
        <f>INDEX(пред!$A$1:$F$222,MATCH(итог!A158,пред!$A$1:$A$222,0),4)</f>
        <v>#N/A</v>
      </c>
      <c r="I158" s="30" t="s">
        <v>380</v>
      </c>
      <c r="J158" s="30" t="s">
        <v>8</v>
      </c>
      <c r="L158" s="30">
        <v>52</v>
      </c>
      <c r="M158" s="30">
        <f>INDEX(защ!$A$1:$H$218,MATCH(итог!A158,защ!$A$1:$A$218,0),4)</f>
        <v>5</v>
      </c>
    </row>
    <row r="159" spans="1:13" ht="42.75">
      <c r="A159" s="30" t="s">
        <v>381</v>
      </c>
      <c r="B159" s="30">
        <v>208</v>
      </c>
      <c r="C159" s="30" t="s">
        <v>382</v>
      </c>
      <c r="D159" s="30" t="s">
        <v>266</v>
      </c>
      <c r="F159" s="30" t="s">
        <v>556</v>
      </c>
      <c r="H159" s="30">
        <f>INDEX(пред!$A$1:$F$222,MATCH(итог!A159,пред!$A$1:$A$222,0),4)</f>
        <v>5</v>
      </c>
      <c r="I159" s="30" t="s">
        <v>382</v>
      </c>
      <c r="J159" s="30" t="s">
        <v>266</v>
      </c>
      <c r="L159" s="30">
        <v>54</v>
      </c>
      <c r="M159" s="30">
        <f>INDEX(защ!$A$1:$H$218,MATCH(итог!A159,защ!$A$1:$A$218,0),4)</f>
        <v>5</v>
      </c>
    </row>
    <row r="160" spans="1:13" ht="42.75">
      <c r="A160" s="30" t="s">
        <v>383</v>
      </c>
      <c r="B160" s="30">
        <v>208</v>
      </c>
      <c r="C160" s="30" t="s">
        <v>538</v>
      </c>
      <c r="D160" s="30" t="s">
        <v>8</v>
      </c>
      <c r="F160" s="30" t="s">
        <v>561</v>
      </c>
      <c r="H160" s="30">
        <f>INDEX(пред!$A$1:$F$222,MATCH(итог!A160,пред!$A$1:$A$222,0),4)</f>
        <v>5</v>
      </c>
      <c r="I160" s="30" t="s">
        <v>538</v>
      </c>
      <c r="J160" s="30" t="s">
        <v>8</v>
      </c>
      <c r="L160" s="30">
        <v>51</v>
      </c>
      <c r="M160" s="30">
        <f>INDEX(защ!$A$1:$H$218,MATCH(итог!A160,защ!$A$1:$A$218,0),4)</f>
        <v>5</v>
      </c>
    </row>
    <row r="161" spans="1:13" ht="57">
      <c r="A161" s="30" t="s">
        <v>384</v>
      </c>
      <c r="B161" s="30">
        <v>208</v>
      </c>
      <c r="C161" s="30" t="s">
        <v>385</v>
      </c>
      <c r="D161" s="30" t="s">
        <v>8</v>
      </c>
      <c r="F161" s="30" t="s">
        <v>559</v>
      </c>
      <c r="H161" s="30">
        <f>INDEX(пред!$A$1:$F$222,MATCH(итог!A161,пред!$A$1:$A$222,0),4)</f>
        <v>5</v>
      </c>
      <c r="I161" s="30" t="s">
        <v>385</v>
      </c>
      <c r="J161" s="30" t="s">
        <v>8</v>
      </c>
      <c r="L161" s="30">
        <v>56</v>
      </c>
      <c r="M161" s="30">
        <f>INDEX(защ!$A$1:$H$218,MATCH(итог!A161,защ!$A$1:$A$218,0),4)</f>
        <v>5</v>
      </c>
    </row>
    <row r="162" spans="1:13" ht="71.25">
      <c r="A162" s="30" t="s">
        <v>386</v>
      </c>
      <c r="B162" s="30">
        <v>208</v>
      </c>
      <c r="C162" s="30" t="s">
        <v>539</v>
      </c>
      <c r="D162" s="30" t="s">
        <v>346</v>
      </c>
      <c r="F162" s="30" t="s">
        <v>562</v>
      </c>
      <c r="H162" s="30">
        <f>INDEX(пред!$A$1:$F$222,MATCH(итог!A162,пред!$A$1:$A$222,0),4)</f>
        <v>5</v>
      </c>
      <c r="I162" s="30" t="s">
        <v>539</v>
      </c>
      <c r="J162" s="30" t="s">
        <v>346</v>
      </c>
      <c r="L162" s="30">
        <v>72</v>
      </c>
      <c r="M162" s="30">
        <f>INDEX(защ!$A$1:$H$218,MATCH(итог!A162,защ!$A$1:$A$218,0),4)</f>
        <v>5</v>
      </c>
    </row>
    <row r="163" spans="1:13" ht="71.25">
      <c r="A163" s="30" t="s">
        <v>387</v>
      </c>
      <c r="B163" s="30">
        <v>208</v>
      </c>
      <c r="C163" s="30" t="s">
        <v>388</v>
      </c>
      <c r="D163" s="30" t="s">
        <v>346</v>
      </c>
      <c r="F163" s="30" t="s">
        <v>562</v>
      </c>
      <c r="H163" s="30">
        <f>INDEX(пред!$A$1:$F$222,MATCH(итог!A163,пред!$A$1:$A$222,0),4)</f>
        <v>5</v>
      </c>
      <c r="I163" s="30" t="s">
        <v>388</v>
      </c>
      <c r="J163" s="30" t="s">
        <v>346</v>
      </c>
      <c r="L163" s="30">
        <v>72</v>
      </c>
      <c r="M163" s="30">
        <f>INDEX(защ!$A$1:$H$218,MATCH(итог!A163,защ!$A$1:$A$218,0),4)</f>
        <v>5</v>
      </c>
    </row>
    <row r="164" spans="1:13" ht="42.75">
      <c r="A164" s="30" t="s">
        <v>389</v>
      </c>
      <c r="B164" s="30">
        <v>208</v>
      </c>
      <c r="C164" s="30" t="s">
        <v>390</v>
      </c>
      <c r="D164" s="30" t="s">
        <v>266</v>
      </c>
      <c r="F164" s="30" t="s">
        <v>563</v>
      </c>
      <c r="H164" s="30">
        <f>INDEX(пред!$A$1:$F$222,MATCH(итог!A164,пред!$A$1:$A$222,0),4)</f>
        <v>5</v>
      </c>
      <c r="I164" s="30" t="s">
        <v>390</v>
      </c>
      <c r="J164" s="30" t="s">
        <v>266</v>
      </c>
      <c r="L164" s="30">
        <v>44</v>
      </c>
      <c r="M164" s="30">
        <f>INDEX(защ!$A$1:$H$218,MATCH(итог!A164,защ!$A$1:$A$218,0),4)</f>
        <v>5</v>
      </c>
    </row>
    <row r="165" spans="1:13" ht="71.25">
      <c r="A165" s="30" t="s">
        <v>391</v>
      </c>
      <c r="B165" s="30">
        <v>209</v>
      </c>
      <c r="C165" s="30" t="s">
        <v>392</v>
      </c>
      <c r="D165" s="30" t="s">
        <v>29</v>
      </c>
      <c r="E165" s="30" t="s">
        <v>60</v>
      </c>
      <c r="F165" s="30" t="s">
        <v>561</v>
      </c>
      <c r="H165" s="30">
        <f>INDEX(пред!$A$1:$F$222,MATCH(итог!A165,пред!$A$1:$A$222,0),4)</f>
        <v>5</v>
      </c>
      <c r="I165" s="30" t="s">
        <v>392</v>
      </c>
      <c r="J165" s="30" t="s">
        <v>29</v>
      </c>
      <c r="L165" s="30">
        <v>62</v>
      </c>
      <c r="M165" s="30">
        <f>INDEX(защ!$A$1:$H$218,MATCH(итог!A165,защ!$A$1:$A$218,0),4)</f>
        <v>5</v>
      </c>
    </row>
    <row r="166" spans="1:13" ht="42.75">
      <c r="A166" s="30" t="s">
        <v>393</v>
      </c>
      <c r="B166" s="30">
        <v>209</v>
      </c>
      <c r="C166" s="30" t="s">
        <v>541</v>
      </c>
      <c r="D166" s="30" t="s">
        <v>121</v>
      </c>
      <c r="F166" s="30" t="s">
        <v>554</v>
      </c>
      <c r="H166" s="30">
        <f>INDEX(пред!$A$1:$F$222,MATCH(итог!A166,пред!$A$1:$A$222,0),4)</f>
        <v>4</v>
      </c>
      <c r="I166" s="30" t="s">
        <v>541</v>
      </c>
      <c r="J166" s="30" t="s">
        <v>121</v>
      </c>
      <c r="L166" s="30">
        <v>61</v>
      </c>
      <c r="M166" s="30">
        <f>INDEX(защ!$A$1:$H$218,MATCH(итог!A166,защ!$A$1:$A$218,0),4)</f>
        <v>4</v>
      </c>
    </row>
    <row r="167" spans="1:13" ht="42.75">
      <c r="A167" s="30" t="s">
        <v>394</v>
      </c>
      <c r="B167" s="30">
        <v>209</v>
      </c>
      <c r="C167" s="30" t="s">
        <v>395</v>
      </c>
      <c r="D167" s="30" t="s">
        <v>29</v>
      </c>
      <c r="E167" s="30" t="s">
        <v>30</v>
      </c>
      <c r="F167" s="30" t="s">
        <v>546</v>
      </c>
      <c r="H167" s="30">
        <f>INDEX(пред!$A$1:$F$222,MATCH(итог!A167,пред!$A$1:$A$222,0),4)</f>
        <v>3</v>
      </c>
      <c r="I167" s="30" t="s">
        <v>395</v>
      </c>
      <c r="J167" s="30" t="s">
        <v>29</v>
      </c>
      <c r="L167" s="30">
        <v>105</v>
      </c>
      <c r="M167" s="30">
        <f>INDEX(защ!$A$1:$H$218,MATCH(итог!A167,защ!$A$1:$A$218,0),4)</f>
        <v>4</v>
      </c>
    </row>
    <row r="168" spans="1:13" ht="42.75">
      <c r="A168" s="30" t="s">
        <v>396</v>
      </c>
      <c r="B168" s="30">
        <v>209</v>
      </c>
      <c r="C168" s="30" t="s">
        <v>397</v>
      </c>
      <c r="D168" s="30" t="s">
        <v>398</v>
      </c>
      <c r="E168" s="30" t="s">
        <v>399</v>
      </c>
      <c r="F168" s="30" t="s">
        <v>564</v>
      </c>
      <c r="H168" s="30">
        <f>INDEX(пред!$A$1:$F$222,MATCH(итог!A168,пред!$A$1:$A$222,0),4)</f>
        <v>5</v>
      </c>
      <c r="I168" s="30" t="s">
        <v>397</v>
      </c>
      <c r="J168" s="30" t="s">
        <v>398</v>
      </c>
      <c r="L168" s="30">
        <v>79</v>
      </c>
      <c r="M168" s="30">
        <f>INDEX(защ!$A$1:$H$218,MATCH(итог!A168,защ!$A$1:$A$218,0),4)</f>
        <v>5</v>
      </c>
    </row>
    <row r="169" spans="1:13" ht="42.75">
      <c r="A169" s="30" t="s">
        <v>400</v>
      </c>
      <c r="B169" s="30">
        <v>209</v>
      </c>
      <c r="C169" s="30" t="s">
        <v>401</v>
      </c>
      <c r="D169" s="30" t="s">
        <v>29</v>
      </c>
      <c r="F169" s="30" t="s">
        <v>561</v>
      </c>
      <c r="H169" s="30">
        <f>INDEX(пред!$A$1:$F$222,MATCH(итог!A169,пред!$A$1:$A$222,0),4)</f>
        <v>4</v>
      </c>
      <c r="I169" s="30" t="s">
        <v>401</v>
      </c>
      <c r="J169" s="30" t="s">
        <v>29</v>
      </c>
      <c r="L169" s="30">
        <v>39</v>
      </c>
      <c r="M169" s="30">
        <f>INDEX(защ!$A$1:$H$218,MATCH(итог!A169,защ!$A$1:$A$218,0),4)</f>
        <v>4</v>
      </c>
    </row>
    <row r="170" spans="1:13" ht="42.75">
      <c r="A170" s="30" t="s">
        <v>402</v>
      </c>
      <c r="B170" s="30">
        <v>209</v>
      </c>
      <c r="C170" s="30" t="s">
        <v>403</v>
      </c>
      <c r="D170" s="30" t="s">
        <v>404</v>
      </c>
      <c r="G170" s="30" t="s">
        <v>596</v>
      </c>
      <c r="H170" s="30" t="e">
        <f>INDEX(пред!$A$1:$F$222,MATCH(итог!A170,пред!$A$1:$A$222,0),4)</f>
        <v>#N/A</v>
      </c>
      <c r="I170" s="30" t="s">
        <v>403</v>
      </c>
      <c r="J170" s="30" t="s">
        <v>404</v>
      </c>
      <c r="K170" s="30" t="s">
        <v>599</v>
      </c>
      <c r="M170" s="30" t="e">
        <f>INDEX(защ!$A$1:$H$218,MATCH(итог!A170,защ!$A$1:$A$218,0),4)</f>
        <v>#N/A</v>
      </c>
    </row>
    <row r="171" spans="1:13" ht="85.5">
      <c r="A171" s="30" t="s">
        <v>405</v>
      </c>
      <c r="B171" s="30">
        <v>209</v>
      </c>
      <c r="C171" s="30" t="s">
        <v>542</v>
      </c>
      <c r="D171" s="30" t="s">
        <v>266</v>
      </c>
      <c r="F171" s="30" t="s">
        <v>565</v>
      </c>
      <c r="H171" s="30">
        <f>INDEX(пред!$A$1:$F$222,MATCH(итог!A171,пред!$A$1:$A$222,0),4)</f>
        <v>3</v>
      </c>
      <c r="I171" s="30" t="s">
        <v>542</v>
      </c>
      <c r="J171" s="30" t="s">
        <v>266</v>
      </c>
      <c r="L171" s="30">
        <v>60</v>
      </c>
      <c r="M171" s="30">
        <f>INDEX(защ!$A$1:$H$218,MATCH(итог!A171,защ!$A$1:$A$218,0),4)</f>
        <v>4</v>
      </c>
    </row>
    <row r="172" spans="1:13" ht="85.5">
      <c r="A172" s="30" t="s">
        <v>406</v>
      </c>
      <c r="B172" s="30">
        <v>209</v>
      </c>
      <c r="C172" s="30" t="s">
        <v>407</v>
      </c>
      <c r="D172" s="30" t="s">
        <v>29</v>
      </c>
      <c r="F172" s="30" t="s">
        <v>566</v>
      </c>
      <c r="G172" s="30" t="s">
        <v>597</v>
      </c>
      <c r="H172" s="30">
        <f>INDEX(пред!$A$1:$F$222,MATCH(итог!A172,пред!$A$1:$A$222,0),4)</f>
        <v>4</v>
      </c>
      <c r="I172" s="30" t="s">
        <v>407</v>
      </c>
      <c r="J172" s="30" t="s">
        <v>29</v>
      </c>
      <c r="L172" s="30">
        <v>39</v>
      </c>
      <c r="M172" s="30">
        <f>INDEX(защ!$A$1:$H$218,MATCH(итог!A172,защ!$A$1:$A$218,0),4)</f>
        <v>5</v>
      </c>
    </row>
    <row r="173" spans="1:13" ht="57">
      <c r="A173" s="30" t="s">
        <v>408</v>
      </c>
      <c r="B173" s="30">
        <v>209</v>
      </c>
      <c r="C173" s="30" t="s">
        <v>409</v>
      </c>
      <c r="D173" s="30" t="s">
        <v>106</v>
      </c>
      <c r="E173" s="30" t="s">
        <v>143</v>
      </c>
      <c r="F173" s="30" t="s">
        <v>567</v>
      </c>
      <c r="H173" s="30">
        <f>INDEX(пред!$A$1:$F$222,MATCH(итог!A173,пред!$A$1:$A$222,0),4)</f>
        <v>5</v>
      </c>
      <c r="I173" s="30" t="s">
        <v>409</v>
      </c>
      <c r="J173" s="30" t="s">
        <v>106</v>
      </c>
      <c r="L173" s="30">
        <v>54</v>
      </c>
      <c r="M173" s="30">
        <f>INDEX(защ!$A$1:$H$218,MATCH(итог!A173,защ!$A$1:$A$218,0),4)</f>
        <v>5</v>
      </c>
    </row>
    <row r="174" spans="1:13" ht="57">
      <c r="A174" s="30" t="s">
        <v>410</v>
      </c>
      <c r="B174" s="30">
        <v>209</v>
      </c>
      <c r="C174" s="30" t="s">
        <v>411</v>
      </c>
      <c r="D174" s="30" t="s">
        <v>121</v>
      </c>
      <c r="E174" s="30" t="s">
        <v>143</v>
      </c>
      <c r="F174" s="30" t="s">
        <v>568</v>
      </c>
      <c r="H174" s="30">
        <f>INDEX(пред!$A$1:$F$222,MATCH(итог!A174,пред!$A$1:$A$222,0),4)</f>
        <v>4</v>
      </c>
      <c r="I174" s="30" t="s">
        <v>411</v>
      </c>
      <c r="J174" s="30" t="s">
        <v>121</v>
      </c>
      <c r="L174" s="30">
        <v>41</v>
      </c>
      <c r="M174" s="30">
        <f>INDEX(защ!$A$1:$H$218,MATCH(итог!A174,защ!$A$1:$A$218,0),4)</f>
        <v>5</v>
      </c>
    </row>
    <row r="175" spans="1:13" ht="71.25">
      <c r="A175" s="30" t="s">
        <v>412</v>
      </c>
      <c r="B175" s="30">
        <v>209</v>
      </c>
      <c r="C175" s="30" t="s">
        <v>413</v>
      </c>
      <c r="D175" s="30" t="s">
        <v>8</v>
      </c>
      <c r="F175" s="30" t="s">
        <v>569</v>
      </c>
      <c r="H175" s="30">
        <f>INDEX(пред!$A$1:$F$222,MATCH(итог!A175,пред!$A$1:$A$222,0),4)</f>
        <v>5</v>
      </c>
      <c r="I175" s="30" t="s">
        <v>413</v>
      </c>
      <c r="J175" s="30" t="s">
        <v>8</v>
      </c>
      <c r="L175" s="30">
        <v>64</v>
      </c>
      <c r="M175" s="30">
        <f>INDEX(защ!$A$1:$H$218,MATCH(итог!A175,защ!$A$1:$A$218,0),4)</f>
        <v>5</v>
      </c>
    </row>
    <row r="176" spans="1:13" ht="57">
      <c r="A176" s="30" t="s">
        <v>414</v>
      </c>
      <c r="B176" s="30">
        <v>209</v>
      </c>
      <c r="C176" s="30" t="s">
        <v>415</v>
      </c>
      <c r="D176" s="30" t="s">
        <v>41</v>
      </c>
      <c r="E176" s="30" t="s">
        <v>416</v>
      </c>
      <c r="F176" s="30" t="s">
        <v>553</v>
      </c>
      <c r="H176" s="30">
        <f>INDEX(пред!$A$1:$F$222,MATCH(итог!A176,пред!$A$1:$A$222,0),4)</f>
        <v>5</v>
      </c>
      <c r="I176" s="30" t="s">
        <v>415</v>
      </c>
      <c r="J176" s="30" t="s">
        <v>41</v>
      </c>
      <c r="L176" s="30">
        <v>74</v>
      </c>
      <c r="M176" s="30">
        <f>INDEX(защ!$A$1:$H$218,MATCH(итог!A176,защ!$A$1:$A$218,0),4)</f>
        <v>5</v>
      </c>
    </row>
    <row r="177" spans="1:13" ht="42.75">
      <c r="A177" s="30" t="s">
        <v>417</v>
      </c>
      <c r="B177" s="30">
        <v>209</v>
      </c>
      <c r="C177" s="30" t="s">
        <v>418</v>
      </c>
      <c r="D177" s="30" t="s">
        <v>41</v>
      </c>
      <c r="E177" s="30" t="s">
        <v>30</v>
      </c>
      <c r="F177" s="30" t="s">
        <v>570</v>
      </c>
      <c r="H177" s="30">
        <f>INDEX(пред!$A$1:$F$222,MATCH(итог!A177,пред!$A$1:$A$222,0),4)</f>
        <v>5</v>
      </c>
      <c r="I177" s="30" t="s">
        <v>418</v>
      </c>
      <c r="J177" s="30" t="s">
        <v>41</v>
      </c>
      <c r="L177" s="30">
        <v>80</v>
      </c>
      <c r="M177" s="30">
        <f>INDEX(защ!$A$1:$H$218,MATCH(итог!A177,защ!$A$1:$A$218,0),4)</f>
        <v>5</v>
      </c>
    </row>
    <row r="178" spans="1:13" ht="57">
      <c r="A178" s="30" t="s">
        <v>419</v>
      </c>
      <c r="B178" s="30">
        <v>209</v>
      </c>
      <c r="C178" s="30" t="s">
        <v>420</v>
      </c>
      <c r="D178" s="30" t="s">
        <v>8</v>
      </c>
      <c r="E178" s="30" t="s">
        <v>421</v>
      </c>
      <c r="F178" s="30" t="s">
        <v>559</v>
      </c>
      <c r="H178" s="30">
        <f>INDEX(пред!$A$1:$F$222,MATCH(итог!A178,пред!$A$1:$A$222,0),4)</f>
        <v>5</v>
      </c>
      <c r="I178" s="30" t="s">
        <v>420</v>
      </c>
      <c r="J178" s="30" t="s">
        <v>8</v>
      </c>
      <c r="L178" s="30">
        <v>64</v>
      </c>
      <c r="M178" s="30">
        <f>INDEX(защ!$A$1:$H$218,MATCH(итог!A178,защ!$A$1:$A$218,0),4)</f>
        <v>5</v>
      </c>
    </row>
    <row r="179" spans="1:13" ht="71.25">
      <c r="A179" s="30" t="s">
        <v>422</v>
      </c>
      <c r="B179" s="30">
        <v>209</v>
      </c>
      <c r="C179" s="30" t="s">
        <v>423</v>
      </c>
      <c r="D179" s="30" t="s">
        <v>100</v>
      </c>
      <c r="E179" s="30" t="s">
        <v>30</v>
      </c>
      <c r="F179" s="30" t="s">
        <v>571</v>
      </c>
      <c r="H179" s="30">
        <f>INDEX(пред!$A$1:$F$222,MATCH(итог!A179,пред!$A$1:$A$222,0),4)</f>
        <v>5</v>
      </c>
      <c r="I179" s="30" t="s">
        <v>423</v>
      </c>
      <c r="J179" s="30" t="s">
        <v>100</v>
      </c>
      <c r="L179" s="30">
        <v>66</v>
      </c>
      <c r="M179" s="30">
        <f>INDEX(защ!$A$1:$H$218,MATCH(итог!A179,защ!$A$1:$A$218,0),4)</f>
        <v>5</v>
      </c>
    </row>
    <row r="180" spans="1:13" ht="42.75">
      <c r="A180" s="30" t="s">
        <v>424</v>
      </c>
      <c r="B180" s="30">
        <v>209</v>
      </c>
      <c r="C180" s="30" t="s">
        <v>543</v>
      </c>
      <c r="D180" s="30" t="s">
        <v>121</v>
      </c>
      <c r="F180" s="30" t="s">
        <v>554</v>
      </c>
      <c r="H180" s="30">
        <f>INDEX(пред!$A$1:$F$222,MATCH(итог!A180,пред!$A$1:$A$222,0),4)</f>
        <v>5</v>
      </c>
      <c r="I180" s="30" t="s">
        <v>543</v>
      </c>
      <c r="J180" s="30" t="s">
        <v>121</v>
      </c>
      <c r="L180" s="30">
        <v>70</v>
      </c>
      <c r="M180" s="30">
        <f>INDEX(защ!$A$1:$H$218,MATCH(итог!A180,защ!$A$1:$A$218,0),4)</f>
        <v>5</v>
      </c>
    </row>
    <row r="181" spans="1:13" ht="85.5">
      <c r="A181" s="30" t="s">
        <v>425</v>
      </c>
      <c r="B181" s="30">
        <v>210</v>
      </c>
      <c r="C181" s="30" t="s">
        <v>544</v>
      </c>
      <c r="D181" s="30" t="s">
        <v>224</v>
      </c>
      <c r="F181" s="30" t="s">
        <v>560</v>
      </c>
      <c r="H181" s="30">
        <f>INDEX(пред!$A$1:$F$222,MATCH(итог!A181,пред!$A$1:$A$222,0),4)</f>
        <v>4</v>
      </c>
      <c r="I181" s="30" t="s">
        <v>544</v>
      </c>
      <c r="J181" s="30" t="s">
        <v>224</v>
      </c>
      <c r="L181" s="30">
        <v>52</v>
      </c>
      <c r="M181" s="30">
        <f>INDEX(защ!$A$1:$H$218,MATCH(итог!A181,защ!$A$1:$A$218,0),4)</f>
        <v>5</v>
      </c>
    </row>
    <row r="182" spans="1:13" ht="42.75">
      <c r="A182" s="30" t="s">
        <v>426</v>
      </c>
      <c r="B182" s="30">
        <v>210</v>
      </c>
      <c r="C182" s="30" t="s">
        <v>427</v>
      </c>
      <c r="D182" s="30" t="s">
        <v>164</v>
      </c>
      <c r="F182" s="30" t="s">
        <v>572</v>
      </c>
      <c r="H182" s="30">
        <f>INDEX(пред!$A$1:$F$222,MATCH(итог!A182,пред!$A$1:$A$222,0),4)</f>
        <v>5</v>
      </c>
      <c r="I182" s="30" t="s">
        <v>427</v>
      </c>
      <c r="J182" s="30" t="s">
        <v>164</v>
      </c>
      <c r="L182" s="30">
        <v>58</v>
      </c>
      <c r="M182" s="30">
        <f>INDEX(защ!$A$1:$H$218,MATCH(итог!A182,защ!$A$1:$A$218,0),4)</f>
        <v>5</v>
      </c>
    </row>
    <row r="183" spans="1:13" ht="85.5">
      <c r="A183" s="30" t="s">
        <v>428</v>
      </c>
      <c r="B183" s="30">
        <v>210</v>
      </c>
      <c r="C183" s="30" t="s">
        <v>429</v>
      </c>
      <c r="D183" s="30" t="s">
        <v>29</v>
      </c>
      <c r="F183" s="30" t="s">
        <v>560</v>
      </c>
      <c r="H183" s="30">
        <f>INDEX(пред!$A$1:$F$222,MATCH(итог!A183,пред!$A$1:$A$222,0),4)</f>
        <v>4</v>
      </c>
      <c r="I183" s="30" t="s">
        <v>429</v>
      </c>
      <c r="J183" s="30" t="s">
        <v>29</v>
      </c>
      <c r="L183" s="30">
        <v>88</v>
      </c>
      <c r="M183" s="30">
        <f>INDEX(защ!$A$1:$H$218,MATCH(итог!A183,защ!$A$1:$A$218,0),4)</f>
        <v>4</v>
      </c>
    </row>
    <row r="184" spans="1:13" ht="71.25">
      <c r="A184" s="30" t="s">
        <v>430</v>
      </c>
      <c r="B184" s="30">
        <v>210</v>
      </c>
      <c r="C184" s="30" t="s">
        <v>431</v>
      </c>
      <c r="D184" s="30" t="s">
        <v>41</v>
      </c>
      <c r="E184" s="30" t="s">
        <v>60</v>
      </c>
      <c r="F184" s="30" t="s">
        <v>573</v>
      </c>
      <c r="H184" s="30">
        <f>INDEX(пред!$A$1:$F$222,MATCH(итог!A184,пред!$A$1:$A$222,0),4)</f>
        <v>5</v>
      </c>
      <c r="I184" s="30" t="s">
        <v>431</v>
      </c>
      <c r="J184" s="30" t="s">
        <v>41</v>
      </c>
      <c r="L184" s="30">
        <v>48</v>
      </c>
      <c r="M184" s="30">
        <f>INDEX(защ!$A$1:$H$218,MATCH(итог!A184,защ!$A$1:$A$218,0),4)</f>
        <v>5</v>
      </c>
    </row>
    <row r="185" spans="1:13" ht="57">
      <c r="A185" s="30" t="s">
        <v>432</v>
      </c>
      <c r="B185" s="30">
        <v>210</v>
      </c>
      <c r="C185" s="30" t="s">
        <v>433</v>
      </c>
      <c r="D185" s="30" t="s">
        <v>41</v>
      </c>
      <c r="F185" s="30" t="s">
        <v>574</v>
      </c>
      <c r="H185" s="30">
        <f>INDEX(пред!$A$1:$F$222,MATCH(итог!A185,пред!$A$1:$A$222,0),4)</f>
        <v>5</v>
      </c>
      <c r="I185" s="30" t="s">
        <v>433</v>
      </c>
      <c r="J185" s="30" t="s">
        <v>41</v>
      </c>
      <c r="L185" s="30">
        <v>83</v>
      </c>
      <c r="M185" s="30">
        <f>INDEX(защ!$A$1:$H$218,MATCH(итог!A185,защ!$A$1:$A$218,0),4)</f>
        <v>5</v>
      </c>
    </row>
    <row r="186" spans="1:13" ht="85.5">
      <c r="A186" s="30" t="s">
        <v>434</v>
      </c>
      <c r="B186" s="30">
        <v>210</v>
      </c>
      <c r="C186" s="30" t="s">
        <v>435</v>
      </c>
      <c r="D186" s="30" t="s">
        <v>224</v>
      </c>
      <c r="F186" s="30" t="s">
        <v>560</v>
      </c>
      <c r="H186" s="30">
        <f>INDEX(пред!$A$1:$F$222,MATCH(итог!A186,пред!$A$1:$A$222,0),4)</f>
        <v>5</v>
      </c>
      <c r="I186" s="30" t="s">
        <v>435</v>
      </c>
      <c r="J186" s="30" t="s">
        <v>224</v>
      </c>
      <c r="L186" s="30">
        <v>72</v>
      </c>
      <c r="M186" s="30">
        <f>INDEX(защ!$A$1:$H$218,MATCH(итог!A186,защ!$A$1:$A$218,0),4)</f>
        <v>5</v>
      </c>
    </row>
    <row r="187" spans="1:13" ht="42.75">
      <c r="A187" s="30" t="s">
        <v>436</v>
      </c>
      <c r="B187" s="30">
        <v>210</v>
      </c>
      <c r="C187" s="30" t="s">
        <v>437</v>
      </c>
      <c r="D187" s="30" t="s">
        <v>8</v>
      </c>
      <c r="G187" s="30" t="s">
        <v>596</v>
      </c>
      <c r="H187" s="30" t="e">
        <f>INDEX(пред!$A$1:$F$222,MATCH(итог!A187,пред!$A$1:$A$222,0),4)</f>
        <v>#N/A</v>
      </c>
      <c r="I187" s="30" t="s">
        <v>437</v>
      </c>
      <c r="J187" s="30" t="s">
        <v>8</v>
      </c>
      <c r="K187" s="30" t="s">
        <v>599</v>
      </c>
      <c r="M187" s="30" t="e">
        <f>INDEX(защ!$A$1:$H$218,MATCH(итог!A187,защ!$A$1:$A$218,0),4)</f>
        <v>#N/A</v>
      </c>
    </row>
    <row r="188" spans="1:13" ht="42.75">
      <c r="A188" s="30" t="s">
        <v>438</v>
      </c>
      <c r="B188" s="30">
        <v>210</v>
      </c>
      <c r="C188" s="30" t="s">
        <v>439</v>
      </c>
      <c r="D188" s="30" t="s">
        <v>74</v>
      </c>
      <c r="F188" s="30" t="s">
        <v>575</v>
      </c>
      <c r="H188" s="30">
        <f>INDEX(пред!$A$1:$F$222,MATCH(итог!A188,пред!$A$1:$A$222,0),4)</f>
        <v>5</v>
      </c>
      <c r="I188" s="30" t="s">
        <v>439</v>
      </c>
      <c r="J188" s="30" t="s">
        <v>74</v>
      </c>
      <c r="L188" s="30">
        <v>112</v>
      </c>
      <c r="M188" s="30">
        <f>INDEX(защ!$A$1:$H$218,MATCH(итог!A188,защ!$A$1:$A$218,0),4)</f>
        <v>5</v>
      </c>
    </row>
    <row r="189" spans="1:13" ht="42.75">
      <c r="A189" s="30" t="s">
        <v>440</v>
      </c>
      <c r="B189" s="30">
        <v>210</v>
      </c>
      <c r="C189" s="30" t="s">
        <v>441</v>
      </c>
      <c r="D189" s="30" t="s">
        <v>121</v>
      </c>
      <c r="F189" s="30" t="s">
        <v>576</v>
      </c>
      <c r="H189" s="30">
        <f>INDEX(пред!$A$1:$F$222,MATCH(итог!A189,пред!$A$1:$A$222,0),4)</f>
        <v>5</v>
      </c>
      <c r="I189" s="30" t="s">
        <v>441</v>
      </c>
      <c r="J189" s="30" t="s">
        <v>121</v>
      </c>
      <c r="L189" s="30">
        <v>59</v>
      </c>
      <c r="M189" s="30">
        <f>INDEX(защ!$A$1:$H$218,MATCH(итог!A189,защ!$A$1:$A$218,0),4)</f>
        <v>5</v>
      </c>
    </row>
    <row r="190" spans="1:13" ht="71.25">
      <c r="A190" s="30" t="s">
        <v>442</v>
      </c>
      <c r="B190" s="30">
        <v>210</v>
      </c>
      <c r="C190" s="30" t="s">
        <v>443</v>
      </c>
      <c r="D190" s="30" t="s">
        <v>299</v>
      </c>
      <c r="F190" s="30" t="s">
        <v>577</v>
      </c>
      <c r="H190" s="30">
        <f>INDEX(пред!$A$1:$F$222,MATCH(итог!A190,пред!$A$1:$A$222,0),4)</f>
        <v>5</v>
      </c>
      <c r="I190" s="30" t="s">
        <v>443</v>
      </c>
      <c r="J190" s="30" t="s">
        <v>299</v>
      </c>
      <c r="L190" s="30">
        <v>56</v>
      </c>
      <c r="M190" s="30">
        <f>INDEX(защ!$A$1:$H$218,MATCH(итог!A190,защ!$A$1:$A$218,0),4)</f>
        <v>5</v>
      </c>
    </row>
    <row r="191" spans="1:13" ht="71.25">
      <c r="A191" s="30" t="s">
        <v>444</v>
      </c>
      <c r="B191" s="30">
        <v>211</v>
      </c>
      <c r="C191" s="30" t="s">
        <v>445</v>
      </c>
      <c r="D191" s="30" t="s">
        <v>299</v>
      </c>
      <c r="F191" s="30" t="s">
        <v>577</v>
      </c>
      <c r="H191" s="30">
        <f>INDEX(пред!$A$1:$F$222,MATCH(итог!A191,пред!$A$1:$A$222,0),4)</f>
        <v>4</v>
      </c>
      <c r="I191" s="30" t="s">
        <v>445</v>
      </c>
      <c r="J191" s="30" t="s">
        <v>299</v>
      </c>
      <c r="L191" s="30">
        <v>54</v>
      </c>
      <c r="M191" s="30">
        <f>INDEX(защ!$A$1:$H$218,MATCH(итог!A191,защ!$A$1:$A$218,0),4)</f>
        <v>5</v>
      </c>
    </row>
    <row r="192" spans="1:13" ht="42.75">
      <c r="A192" s="30" t="s">
        <v>446</v>
      </c>
      <c r="B192" s="30">
        <v>211</v>
      </c>
      <c r="C192" s="30" t="s">
        <v>447</v>
      </c>
      <c r="D192" s="30" t="s">
        <v>266</v>
      </c>
      <c r="F192" s="30" t="s">
        <v>561</v>
      </c>
      <c r="H192" s="30">
        <f>INDEX(пред!$A$1:$F$222,MATCH(итог!A192,пред!$A$1:$A$222,0),4)</f>
        <v>4</v>
      </c>
      <c r="I192" s="30" t="s">
        <v>447</v>
      </c>
      <c r="J192" s="30" t="s">
        <v>266</v>
      </c>
      <c r="L192" s="30">
        <v>52</v>
      </c>
      <c r="M192" s="30">
        <f>INDEX(защ!$A$1:$H$218,MATCH(итог!A192,защ!$A$1:$A$218,0),4)</f>
        <v>5</v>
      </c>
    </row>
    <row r="193" spans="1:13" ht="42.75">
      <c r="A193" s="30" t="s">
        <v>448</v>
      </c>
      <c r="B193" s="30">
        <v>211</v>
      </c>
      <c r="C193" s="30" t="s">
        <v>449</v>
      </c>
      <c r="D193" s="30" t="s">
        <v>74</v>
      </c>
      <c r="F193" s="30" t="s">
        <v>575</v>
      </c>
      <c r="H193" s="30">
        <f>INDEX(пред!$A$1:$F$222,MATCH(итог!A193,пред!$A$1:$A$222,0),4)</f>
        <v>4</v>
      </c>
      <c r="I193" s="30" t="s">
        <v>449</v>
      </c>
      <c r="J193" s="30" t="s">
        <v>74</v>
      </c>
      <c r="L193" s="30">
        <v>55</v>
      </c>
      <c r="M193" s="30">
        <f>INDEX(защ!$A$1:$H$218,MATCH(итог!A193,защ!$A$1:$A$218,0),4)</f>
        <v>5</v>
      </c>
    </row>
    <row r="194" spans="1:13" ht="57">
      <c r="A194" s="30" t="s">
        <v>450</v>
      </c>
      <c r="B194" s="30">
        <v>211</v>
      </c>
      <c r="C194" s="30" t="s">
        <v>451</v>
      </c>
      <c r="D194" s="30" t="s">
        <v>266</v>
      </c>
      <c r="F194" s="30" t="s">
        <v>578</v>
      </c>
      <c r="H194" s="30">
        <f>INDEX(пред!$A$1:$F$222,MATCH(итог!A194,пред!$A$1:$A$222,0),4)</f>
        <v>4</v>
      </c>
      <c r="I194" s="30" t="s">
        <v>451</v>
      </c>
      <c r="J194" s="30" t="s">
        <v>266</v>
      </c>
      <c r="L194" s="30">
        <v>89</v>
      </c>
      <c r="M194" s="30">
        <f>INDEX(защ!$A$1:$H$218,MATCH(итог!A194,защ!$A$1:$A$218,0),4)</f>
        <v>5</v>
      </c>
    </row>
    <row r="195" spans="1:13" ht="85.5">
      <c r="A195" s="30" t="s">
        <v>452</v>
      </c>
      <c r="B195" s="30">
        <v>211</v>
      </c>
      <c r="C195" s="30" t="s">
        <v>453</v>
      </c>
      <c r="D195" s="30" t="s">
        <v>29</v>
      </c>
      <c r="E195" s="30" t="s">
        <v>454</v>
      </c>
      <c r="F195" s="30" t="s">
        <v>560</v>
      </c>
      <c r="H195" s="30">
        <f>INDEX(пред!$A$1:$F$222,MATCH(итог!A195,пред!$A$1:$A$222,0),4)</f>
        <v>5</v>
      </c>
      <c r="I195" s="30" t="s">
        <v>453</v>
      </c>
      <c r="J195" s="30" t="s">
        <v>29</v>
      </c>
      <c r="L195" s="30">
        <v>58</v>
      </c>
      <c r="M195" s="30">
        <f>INDEX(защ!$A$1:$H$218,MATCH(итог!A195,защ!$A$1:$A$218,0),4)</f>
        <v>5</v>
      </c>
    </row>
    <row r="196" spans="1:13" ht="42.75">
      <c r="A196" s="30" t="s">
        <v>455</v>
      </c>
      <c r="B196" s="30">
        <v>211</v>
      </c>
      <c r="C196" s="30" t="s">
        <v>456</v>
      </c>
      <c r="D196" s="30" t="s">
        <v>41</v>
      </c>
      <c r="F196" s="30" t="s">
        <v>579</v>
      </c>
      <c r="H196" s="30">
        <f>INDEX(пред!$A$1:$F$222,MATCH(итог!A196,пред!$A$1:$A$222,0),4)</f>
        <v>4</v>
      </c>
      <c r="I196" s="30" t="s">
        <v>456</v>
      </c>
      <c r="J196" s="30" t="s">
        <v>41</v>
      </c>
      <c r="L196" s="30">
        <v>68</v>
      </c>
      <c r="M196" s="30">
        <f>INDEX(защ!$A$1:$H$218,MATCH(итог!A196,защ!$A$1:$A$218,0),4)</f>
        <v>5</v>
      </c>
    </row>
    <row r="197" spans="1:13" ht="28.5">
      <c r="A197" s="30" t="s">
        <v>457</v>
      </c>
      <c r="B197" s="30">
        <v>211</v>
      </c>
      <c r="C197" s="30" t="s">
        <v>458</v>
      </c>
      <c r="D197" s="30" t="s">
        <v>341</v>
      </c>
      <c r="G197" s="30" t="s">
        <v>596</v>
      </c>
      <c r="H197" s="30" t="e">
        <f>INDEX(пред!$A$1:$F$222,MATCH(итог!A197,пред!$A$1:$A$222,0),4)</f>
        <v>#N/A</v>
      </c>
      <c r="I197" s="30" t="s">
        <v>458</v>
      </c>
      <c r="J197" s="30" t="s">
        <v>341</v>
      </c>
      <c r="K197" s="30" t="s">
        <v>599</v>
      </c>
      <c r="M197" s="30" t="e">
        <f>INDEX(защ!$A$1:$H$218,MATCH(итог!A197,защ!$A$1:$A$218,0),4)</f>
        <v>#N/A</v>
      </c>
    </row>
    <row r="198" spans="1:13" ht="57">
      <c r="A198" s="30" t="s">
        <v>459</v>
      </c>
      <c r="B198" s="30">
        <v>211</v>
      </c>
      <c r="C198" s="30" t="s">
        <v>460</v>
      </c>
      <c r="D198" s="30" t="s">
        <v>121</v>
      </c>
      <c r="F198" s="30" t="s">
        <v>561</v>
      </c>
      <c r="H198" s="30">
        <f>INDEX(пред!$A$1:$F$222,MATCH(итог!A198,пред!$A$1:$A$222,0),4)</f>
        <v>5</v>
      </c>
      <c r="I198" s="30" t="s">
        <v>460</v>
      </c>
      <c r="J198" s="30" t="s">
        <v>121</v>
      </c>
      <c r="L198" s="30">
        <v>86</v>
      </c>
      <c r="M198" s="30">
        <f>INDEX(защ!$A$1:$H$218,MATCH(итог!A198,защ!$A$1:$A$218,0),4)</f>
        <v>5</v>
      </c>
    </row>
    <row r="199" spans="1:13" ht="42.75">
      <c r="A199" s="30" t="s">
        <v>461</v>
      </c>
      <c r="B199" s="30">
        <v>211</v>
      </c>
      <c r="C199" s="30" t="s">
        <v>462</v>
      </c>
      <c r="D199" s="30" t="s">
        <v>233</v>
      </c>
      <c r="F199" s="30" t="s">
        <v>546</v>
      </c>
      <c r="H199" s="30" t="e">
        <f>INDEX(пред!$A$1:$F$222,MATCH(итог!A199,пред!$A$1:$A$222,0),4)</f>
        <v>#N/A</v>
      </c>
      <c r="I199" s="30" t="s">
        <v>462</v>
      </c>
      <c r="J199" s="30" t="s">
        <v>233</v>
      </c>
      <c r="L199" s="30">
        <v>60</v>
      </c>
      <c r="M199" s="30">
        <f>INDEX(защ!$A$1:$H$218,MATCH(итог!A199,защ!$A$1:$A$218,0),4)</f>
        <v>5</v>
      </c>
    </row>
    <row r="200" spans="1:13" ht="42.75">
      <c r="A200" s="30" t="s">
        <v>463</v>
      </c>
      <c r="B200" s="30">
        <v>211</v>
      </c>
      <c r="C200" s="30" t="s">
        <v>464</v>
      </c>
      <c r="D200" s="30" t="s">
        <v>164</v>
      </c>
      <c r="F200" s="30" t="s">
        <v>572</v>
      </c>
      <c r="H200" s="30">
        <f>INDEX(пред!$A$1:$F$222,MATCH(итог!A200,пред!$A$1:$A$222,0),4)</f>
        <v>5</v>
      </c>
      <c r="I200" s="30" t="s">
        <v>464</v>
      </c>
      <c r="J200" s="30" t="s">
        <v>164</v>
      </c>
      <c r="L200" s="30">
        <v>80</v>
      </c>
      <c r="M200" s="30">
        <f>INDEX(защ!$A$1:$H$218,MATCH(итог!A200,защ!$A$1:$A$218,0),4)</f>
        <v>5</v>
      </c>
    </row>
    <row r="201" spans="1:13" ht="71.25">
      <c r="A201" s="30" t="s">
        <v>465</v>
      </c>
      <c r="B201" s="30">
        <v>211</v>
      </c>
      <c r="C201" s="30" t="s">
        <v>466</v>
      </c>
      <c r="D201" s="30" t="s">
        <v>8</v>
      </c>
      <c r="F201" s="30" t="s">
        <v>559</v>
      </c>
      <c r="H201" s="30">
        <f>INDEX(пред!$A$1:$F$222,MATCH(итог!A201,пред!$A$1:$A$222,0),4)</f>
        <v>4</v>
      </c>
      <c r="I201" s="30" t="s">
        <v>466</v>
      </c>
      <c r="J201" s="30" t="s">
        <v>8</v>
      </c>
      <c r="L201" s="30">
        <v>86</v>
      </c>
      <c r="M201" s="30">
        <f>INDEX(защ!$A$1:$H$218,MATCH(итог!A201,защ!$A$1:$A$218,0),4)</f>
        <v>5</v>
      </c>
    </row>
    <row r="202" spans="1:13" ht="28.5">
      <c r="A202" s="30" t="s">
        <v>467</v>
      </c>
      <c r="B202" s="30">
        <v>211</v>
      </c>
      <c r="C202" s="30" t="s">
        <v>468</v>
      </c>
      <c r="D202" s="30" t="s">
        <v>74</v>
      </c>
      <c r="G202" s="30" t="s">
        <v>596</v>
      </c>
      <c r="H202" s="30" t="e">
        <f>INDEX(пред!$A$1:$F$222,MATCH(итог!A202,пред!$A$1:$A$222,0),4)</f>
        <v>#N/A</v>
      </c>
      <c r="I202" s="30" t="s">
        <v>468</v>
      </c>
      <c r="J202" s="30" t="s">
        <v>74</v>
      </c>
      <c r="K202" s="30" t="s">
        <v>599</v>
      </c>
      <c r="M202" s="30" t="e">
        <f>INDEX(защ!$A$1:$H$218,MATCH(итог!A202,защ!$A$1:$A$218,0),4)</f>
        <v>#N/A</v>
      </c>
    </row>
    <row r="203" spans="1:13" ht="85.5">
      <c r="A203" s="30" t="s">
        <v>469</v>
      </c>
      <c r="B203" s="30">
        <v>211</v>
      </c>
      <c r="C203" s="30" t="s">
        <v>470</v>
      </c>
      <c r="D203" s="30" t="s">
        <v>106</v>
      </c>
      <c r="F203" s="30" t="s">
        <v>560</v>
      </c>
      <c r="H203" s="30">
        <f>INDEX(пред!$A$1:$F$222,MATCH(итог!A203,пред!$A$1:$A$222,0),4)</f>
        <v>5</v>
      </c>
      <c r="I203" s="30" t="s">
        <v>470</v>
      </c>
      <c r="J203" s="30" t="s">
        <v>106</v>
      </c>
      <c r="L203" s="30">
        <v>56</v>
      </c>
      <c r="M203" s="30">
        <f>INDEX(защ!$A$1:$H$218,MATCH(итог!A203,защ!$A$1:$A$218,0),4)</f>
        <v>5</v>
      </c>
    </row>
    <row r="204" spans="1:13" ht="57">
      <c r="A204" s="30" t="s">
        <v>471</v>
      </c>
      <c r="B204" s="30">
        <v>214</v>
      </c>
      <c r="C204" s="30" t="s">
        <v>472</v>
      </c>
      <c r="D204" s="30" t="s">
        <v>8</v>
      </c>
      <c r="E204" s="30" t="s">
        <v>473</v>
      </c>
      <c r="F204" s="30" t="s">
        <v>574</v>
      </c>
      <c r="H204" s="30" t="e">
        <f>INDEX(пред!$A$1:$F$222,MATCH(итог!A204,пред!$A$1:$A$222,0),4)</f>
        <v>#N/A</v>
      </c>
      <c r="I204" s="30" t="s">
        <v>472</v>
      </c>
      <c r="J204" s="30" t="s">
        <v>8</v>
      </c>
      <c r="L204" s="30">
        <v>65</v>
      </c>
      <c r="M204" s="30">
        <f>INDEX(защ!$A$1:$H$218,MATCH(итог!A204,защ!$A$1:$A$218,0),4)</f>
        <v>5</v>
      </c>
    </row>
    <row r="205" spans="1:13" ht="42.75">
      <c r="A205" s="30" t="s">
        <v>474</v>
      </c>
      <c r="B205" s="30">
        <v>214</v>
      </c>
      <c r="C205" s="30" t="s">
        <v>475</v>
      </c>
      <c r="D205" s="30" t="s">
        <v>41</v>
      </c>
      <c r="F205" s="30" t="s">
        <v>580</v>
      </c>
      <c r="H205" s="30" t="e">
        <f>INDEX(пред!$A$1:$F$222,MATCH(итог!A205,пред!$A$1:$A$222,0),4)</f>
        <v>#N/A</v>
      </c>
      <c r="I205" s="30" t="s">
        <v>475</v>
      </c>
      <c r="J205" s="30" t="s">
        <v>41</v>
      </c>
      <c r="L205" s="30">
        <v>39</v>
      </c>
      <c r="M205" s="30">
        <f>INDEX(защ!$A$1:$H$218,MATCH(итог!A205,защ!$A$1:$A$218,0),4)</f>
        <v>5</v>
      </c>
    </row>
    <row r="206" spans="1:13" ht="42.75">
      <c r="A206" s="30" t="s">
        <v>476</v>
      </c>
      <c r="B206" s="30">
        <v>214</v>
      </c>
      <c r="C206" s="30" t="s">
        <v>477</v>
      </c>
      <c r="D206" s="30" t="s">
        <v>29</v>
      </c>
      <c r="F206" s="30" t="s">
        <v>581</v>
      </c>
      <c r="H206" s="30">
        <f>INDEX(пред!$A$1:$F$222,MATCH(итог!A206,пред!$A$1:$A$222,0),4)</f>
        <v>4</v>
      </c>
      <c r="I206" s="30" t="s">
        <v>477</v>
      </c>
      <c r="J206" s="30" t="s">
        <v>29</v>
      </c>
      <c r="L206" s="30">
        <v>46</v>
      </c>
      <c r="M206" s="30">
        <f>INDEX(защ!$A$1:$H$218,MATCH(итог!A206,защ!$A$1:$A$218,0),4)</f>
        <v>4</v>
      </c>
    </row>
    <row r="207" spans="1:13" ht="42.75">
      <c r="A207" s="30" t="s">
        <v>478</v>
      </c>
      <c r="B207" s="30">
        <v>214</v>
      </c>
      <c r="C207" s="30" t="s">
        <v>479</v>
      </c>
      <c r="D207" s="30" t="s">
        <v>121</v>
      </c>
      <c r="F207" s="30" t="s">
        <v>554</v>
      </c>
      <c r="H207" s="30">
        <f>INDEX(пред!$A$1:$F$222,MATCH(итог!A207,пред!$A$1:$A$222,0),4)</f>
        <v>4</v>
      </c>
      <c r="I207" s="30" t="s">
        <v>479</v>
      </c>
      <c r="J207" s="30" t="s">
        <v>121</v>
      </c>
      <c r="L207" s="30">
        <v>68</v>
      </c>
      <c r="M207" s="30">
        <f>INDEX(защ!$A$1:$H$218,MATCH(итог!A207,защ!$A$1:$A$218,0),4)</f>
        <v>4</v>
      </c>
    </row>
    <row r="208" spans="1:13" ht="57">
      <c r="A208" s="30" t="s">
        <v>480</v>
      </c>
      <c r="B208" s="30">
        <v>214</v>
      </c>
      <c r="C208" s="30" t="s">
        <v>481</v>
      </c>
      <c r="D208" s="30" t="s">
        <v>482</v>
      </c>
      <c r="F208" s="30" t="s">
        <v>582</v>
      </c>
      <c r="H208" s="30">
        <f>INDEX(пред!$A$1:$F$222,MATCH(итог!A208,пред!$A$1:$A$222,0),4)</f>
        <v>5</v>
      </c>
      <c r="I208" s="30" t="s">
        <v>481</v>
      </c>
      <c r="J208" s="30" t="s">
        <v>482</v>
      </c>
      <c r="L208" s="30">
        <v>87</v>
      </c>
      <c r="M208" s="30">
        <f>INDEX(защ!$A$1:$H$218,MATCH(итог!A208,защ!$A$1:$A$218,0),4)</f>
        <v>5</v>
      </c>
    </row>
    <row r="209" spans="1:13" ht="42.75">
      <c r="A209" s="30" t="s">
        <v>483</v>
      </c>
      <c r="B209" s="30">
        <v>214</v>
      </c>
      <c r="C209" s="30" t="s">
        <v>484</v>
      </c>
      <c r="D209" s="30" t="s">
        <v>29</v>
      </c>
      <c r="F209" s="30" t="s">
        <v>583</v>
      </c>
      <c r="H209" s="30">
        <f>INDEX(пред!$A$1:$F$222,MATCH(итог!A209,пред!$A$1:$A$222,0),4)</f>
        <v>5</v>
      </c>
      <c r="I209" s="30" t="s">
        <v>484</v>
      </c>
      <c r="J209" s="30" t="s">
        <v>29</v>
      </c>
      <c r="L209" s="30">
        <v>48</v>
      </c>
      <c r="M209" s="30">
        <f>INDEX(защ!$A$1:$H$218,MATCH(итог!A209,защ!$A$1:$A$218,0),4)</f>
        <v>4</v>
      </c>
    </row>
    <row r="210" spans="1:13" ht="28.5">
      <c r="A210" s="30" t="s">
        <v>485</v>
      </c>
      <c r="B210" s="30">
        <v>214</v>
      </c>
      <c r="C210" s="30" t="s">
        <v>486</v>
      </c>
      <c r="D210" s="30" t="s">
        <v>41</v>
      </c>
      <c r="F210" s="30" t="s">
        <v>584</v>
      </c>
      <c r="H210" s="30">
        <f>INDEX(пред!$A$1:$F$222,MATCH(итог!A210,пред!$A$1:$A$222,0),4)</f>
        <v>4</v>
      </c>
      <c r="I210" s="30" t="s">
        <v>486</v>
      </c>
      <c r="J210" s="30" t="s">
        <v>41</v>
      </c>
      <c r="L210" s="30">
        <v>60</v>
      </c>
      <c r="M210" s="30">
        <f>INDEX(защ!$A$1:$H$218,MATCH(итог!A210,защ!$A$1:$A$218,0),4)</f>
        <v>4</v>
      </c>
    </row>
    <row r="211" spans="1:13" ht="85.5">
      <c r="A211" s="30" t="s">
        <v>487</v>
      </c>
      <c r="B211" s="30">
        <v>214</v>
      </c>
      <c r="C211" s="30" t="s">
        <v>488</v>
      </c>
      <c r="D211" s="30" t="s">
        <v>266</v>
      </c>
      <c r="F211" s="30" t="s">
        <v>560</v>
      </c>
      <c r="G211" s="30" t="s">
        <v>596</v>
      </c>
      <c r="H211" s="30" t="e">
        <f>INDEX(пред!$A$1:$F$222,MATCH(итог!A211,пред!$A$1:$A$222,0),4)</f>
        <v>#N/A</v>
      </c>
      <c r="I211" s="30" t="s">
        <v>488</v>
      </c>
      <c r="J211" s="30" t="s">
        <v>266</v>
      </c>
      <c r="K211" s="30" t="s">
        <v>599</v>
      </c>
      <c r="M211" s="30" t="e">
        <f>INDEX(защ!$A$1:$H$218,MATCH(итог!A211,защ!$A$1:$A$218,0),4)</f>
        <v>#N/A</v>
      </c>
    </row>
    <row r="212" spans="1:13" ht="42.75">
      <c r="A212" s="30" t="s">
        <v>489</v>
      </c>
      <c r="B212" s="30">
        <v>214</v>
      </c>
      <c r="C212" s="30" t="s">
        <v>490</v>
      </c>
      <c r="D212" s="30" t="s">
        <v>38</v>
      </c>
      <c r="E212" s="30" t="s">
        <v>143</v>
      </c>
      <c r="F212" s="30" t="s">
        <v>585</v>
      </c>
      <c r="H212" s="30">
        <f>INDEX(пред!$A$1:$F$222,MATCH(итог!A212,пред!$A$1:$A$222,0),4)</f>
        <v>4</v>
      </c>
      <c r="I212" s="30" t="s">
        <v>490</v>
      </c>
      <c r="J212" s="30" t="s">
        <v>38</v>
      </c>
      <c r="L212" s="30">
        <v>73</v>
      </c>
      <c r="M212" s="30">
        <f>INDEX(защ!$A$1:$H$218,MATCH(итог!A212,защ!$A$1:$A$218,0),4)</f>
        <v>4</v>
      </c>
    </row>
    <row r="213" spans="1:13" ht="71.25">
      <c r="A213" s="30" t="s">
        <v>491</v>
      </c>
      <c r="B213" s="30">
        <v>214</v>
      </c>
      <c r="C213" s="30" t="s">
        <v>492</v>
      </c>
      <c r="D213" s="30" t="s">
        <v>404</v>
      </c>
      <c r="F213" s="30" t="s">
        <v>586</v>
      </c>
      <c r="H213" s="30">
        <f>INDEX(пред!$A$1:$F$222,MATCH(итог!A213,пред!$A$1:$A$222,0),4)</f>
        <v>5</v>
      </c>
      <c r="I213" s="30" t="s">
        <v>492</v>
      </c>
      <c r="J213" s="30" t="s">
        <v>404</v>
      </c>
      <c r="L213" s="30">
        <v>58</v>
      </c>
      <c r="M213" s="30">
        <f>INDEX(защ!$A$1:$H$218,MATCH(итог!A213,защ!$A$1:$A$218,0),4)</f>
        <v>5</v>
      </c>
    </row>
    <row r="214" spans="1:13" ht="71.25">
      <c r="A214" s="30" t="s">
        <v>493</v>
      </c>
      <c r="B214" s="30">
        <v>214</v>
      </c>
      <c r="C214" s="30" t="s">
        <v>494</v>
      </c>
      <c r="D214" s="30" t="s">
        <v>121</v>
      </c>
      <c r="F214" s="30" t="s">
        <v>587</v>
      </c>
      <c r="H214" s="30">
        <f>INDEX(пред!$A$1:$F$222,MATCH(итог!A214,пред!$A$1:$A$222,0),4)</f>
        <v>5</v>
      </c>
      <c r="I214" s="30" t="s">
        <v>494</v>
      </c>
      <c r="J214" s="30" t="s">
        <v>121</v>
      </c>
      <c r="L214" s="30">
        <v>110</v>
      </c>
      <c r="M214" s="30">
        <f>INDEX(защ!$A$1:$H$218,MATCH(итог!A214,защ!$A$1:$A$218,0),4)</f>
        <v>5</v>
      </c>
    </row>
    <row r="215" spans="1:13" ht="42.75">
      <c r="A215" s="30" t="s">
        <v>495</v>
      </c>
      <c r="B215" s="30">
        <v>214</v>
      </c>
      <c r="C215" s="30" t="s">
        <v>496</v>
      </c>
      <c r="D215" s="30" t="s">
        <v>497</v>
      </c>
      <c r="F215" s="30" t="s">
        <v>588</v>
      </c>
      <c r="H215" s="30">
        <f>INDEX(пред!$A$1:$F$222,MATCH(итог!A215,пред!$A$1:$A$222,0),4)</f>
        <v>4</v>
      </c>
      <c r="I215" s="30" t="s">
        <v>496</v>
      </c>
      <c r="J215" s="30" t="s">
        <v>497</v>
      </c>
      <c r="L215" s="30">
        <v>69</v>
      </c>
      <c r="M215" s="30">
        <f>INDEX(защ!$A$1:$H$218,MATCH(итог!A215,защ!$A$1:$A$218,0),4)</f>
        <v>4</v>
      </c>
    </row>
    <row r="216" spans="1:13" ht="28.5">
      <c r="A216" s="30" t="s">
        <v>498</v>
      </c>
      <c r="B216" s="30">
        <v>214</v>
      </c>
      <c r="C216" s="30" t="s">
        <v>499</v>
      </c>
      <c r="D216" s="30" t="s">
        <v>41</v>
      </c>
      <c r="F216" s="30" t="s">
        <v>589</v>
      </c>
      <c r="H216" s="30" t="e">
        <f>INDEX(пред!$A$1:$F$222,MATCH(итог!A216,пред!$A$1:$A$222,0),4)</f>
        <v>#N/A</v>
      </c>
      <c r="I216" s="30" t="s">
        <v>499</v>
      </c>
      <c r="J216" s="30" t="s">
        <v>41</v>
      </c>
      <c r="L216" s="30">
        <v>103</v>
      </c>
      <c r="M216" s="30">
        <f>INDEX(защ!$A$1:$H$218,MATCH(итог!A216,защ!$A$1:$A$218,0),4)</f>
        <v>5</v>
      </c>
    </row>
    <row r="217" spans="1:13" ht="57">
      <c r="A217" s="30" t="s">
        <v>500</v>
      </c>
      <c r="B217" s="30">
        <v>214</v>
      </c>
      <c r="C217" s="30" t="s">
        <v>501</v>
      </c>
      <c r="D217" s="30" t="s">
        <v>8</v>
      </c>
      <c r="F217" s="30" t="s">
        <v>559</v>
      </c>
      <c r="H217" s="30">
        <f>INDEX(пред!$A$1:$F$222,MATCH(итог!A217,пред!$A$1:$A$222,0),4)</f>
        <v>5</v>
      </c>
      <c r="I217" s="30" t="s">
        <v>501</v>
      </c>
      <c r="J217" s="30" t="s">
        <v>8</v>
      </c>
      <c r="L217" s="30">
        <v>86</v>
      </c>
      <c r="M217" s="30">
        <f>INDEX(защ!$A$1:$H$218,MATCH(итог!A217,защ!$A$1:$A$218,0),4)</f>
        <v>5</v>
      </c>
    </row>
    <row r="218" spans="1:13" ht="57">
      <c r="A218" s="30" t="s">
        <v>502</v>
      </c>
      <c r="B218" s="30">
        <v>214</v>
      </c>
      <c r="C218" s="30" t="s">
        <v>503</v>
      </c>
      <c r="D218" s="30" t="s">
        <v>341</v>
      </c>
      <c r="F218" s="30" t="s">
        <v>590</v>
      </c>
      <c r="H218" s="30">
        <f>INDEX(пред!$A$1:$F$222,MATCH(итог!A218,пред!$A$1:$A$222,0),4)</f>
        <v>4</v>
      </c>
      <c r="I218" s="30" t="s">
        <v>503</v>
      </c>
      <c r="J218" s="30" t="s">
        <v>341</v>
      </c>
      <c r="L218" s="30">
        <v>43</v>
      </c>
      <c r="M218" s="30">
        <f>INDEX(защ!$A$1:$H$218,MATCH(итог!A218,защ!$A$1:$A$218,0),4)</f>
        <v>5</v>
      </c>
    </row>
    <row r="219" spans="1:13" ht="71.25">
      <c r="A219" s="30" t="s">
        <v>504</v>
      </c>
      <c r="B219" s="30">
        <v>214</v>
      </c>
      <c r="C219" s="30" t="s">
        <v>505</v>
      </c>
      <c r="D219" s="30" t="s">
        <v>506</v>
      </c>
      <c r="F219" s="30" t="s">
        <v>591</v>
      </c>
      <c r="H219" s="30">
        <f>INDEX(пред!$A$1:$F$222,MATCH(итог!A219,пред!$A$1:$A$222,0),4)</f>
        <v>4</v>
      </c>
      <c r="I219" s="30" t="s">
        <v>505</v>
      </c>
      <c r="J219" s="30" t="s">
        <v>506</v>
      </c>
      <c r="L219" s="30">
        <v>44</v>
      </c>
      <c r="M219" s="30">
        <f>INDEX(защ!$A$1:$H$218,MATCH(итог!A219,защ!$A$1:$A$218,0),4)</f>
        <v>4</v>
      </c>
    </row>
    <row r="220" spans="1:13" ht="71.25">
      <c r="A220" s="30" t="s">
        <v>507</v>
      </c>
      <c r="B220" s="30">
        <v>101</v>
      </c>
      <c r="C220" s="30" t="s">
        <v>508</v>
      </c>
      <c r="D220" s="30" t="s">
        <v>341</v>
      </c>
      <c r="F220" s="30" t="s">
        <v>592</v>
      </c>
      <c r="H220" s="30">
        <f>INDEX(пред!$A$1:$F$222,MATCH(итог!A220,пред!$A$1:$A$222,0),4)</f>
        <v>5</v>
      </c>
      <c r="I220" s="30" t="s">
        <v>508</v>
      </c>
      <c r="J220" s="30" t="s">
        <v>341</v>
      </c>
      <c r="L220" s="30">
        <v>91</v>
      </c>
      <c r="M220" s="30" t="e">
        <f>INDEX(защ!$A$1:$H$218,MATCH(итог!A220,защ!$A$1:$A$218,0),4)</f>
        <v>#N/A</v>
      </c>
    </row>
    <row r="221" spans="1:13" ht="57">
      <c r="A221" s="30" t="s">
        <v>509</v>
      </c>
      <c r="B221" s="30">
        <v>101</v>
      </c>
      <c r="C221" s="30" t="s">
        <v>510</v>
      </c>
      <c r="D221" s="30" t="s">
        <v>121</v>
      </c>
      <c r="F221" s="30" t="s">
        <v>548</v>
      </c>
      <c r="H221" s="30">
        <f>INDEX(пред!$A$1:$F$222,MATCH(итог!A221,пред!$A$1:$A$222,0),4)</f>
        <v>5</v>
      </c>
      <c r="I221" s="30" t="s">
        <v>510</v>
      </c>
      <c r="J221" s="30" t="s">
        <v>121</v>
      </c>
      <c r="L221" s="30">
        <v>54</v>
      </c>
      <c r="M221" s="30" t="e">
        <f>INDEX(защ!$A$1:$H$218,MATCH(итог!A221,защ!$A$1:$A$218,0),4)</f>
        <v>#N/A</v>
      </c>
    </row>
    <row r="222" spans="1:13" ht="57">
      <c r="A222" s="30" t="s">
        <v>511</v>
      </c>
      <c r="B222" s="30">
        <v>101</v>
      </c>
      <c r="C222" s="30" t="s">
        <v>512</v>
      </c>
      <c r="D222" s="30" t="s">
        <v>41</v>
      </c>
      <c r="F222" s="30" t="s">
        <v>574</v>
      </c>
      <c r="H222" s="30">
        <f>INDEX(пред!$A$1:$F$222,MATCH(итог!A222,пред!$A$1:$A$222,0),4)</f>
        <v>5</v>
      </c>
      <c r="I222" s="30" t="s">
        <v>512</v>
      </c>
      <c r="J222" s="30" t="s">
        <v>41</v>
      </c>
      <c r="L222" s="30">
        <v>111</v>
      </c>
      <c r="M222" s="30">
        <f>INDEX(защ!$A$1:$H$218,MATCH(итог!A222,защ!$A$1:$A$218,0),4)</f>
        <v>5</v>
      </c>
    </row>
    <row r="223" spans="1:13" ht="42.75">
      <c r="A223" s="30" t="s">
        <v>513</v>
      </c>
      <c r="B223" s="30">
        <v>101</v>
      </c>
      <c r="C223" s="30" t="s">
        <v>514</v>
      </c>
      <c r="D223" s="30" t="s">
        <v>8</v>
      </c>
      <c r="F223" s="30" t="s">
        <v>593</v>
      </c>
      <c r="H223" s="30">
        <f>INDEX(пред!$A$1:$F$222,MATCH(итог!A223,пред!$A$1:$A$222,0),4)</f>
        <v>5</v>
      </c>
      <c r="I223" s="30" t="s">
        <v>514</v>
      </c>
      <c r="J223" s="30" t="s">
        <v>8</v>
      </c>
      <c r="L223" s="30">
        <v>83</v>
      </c>
      <c r="M223" s="30" t="e">
        <f>INDEX(защ!$A$1:$H$218,MATCH(итог!A223,защ!$A$1:$A$218,0),4)</f>
        <v>#N/A</v>
      </c>
    </row>
    <row r="224" spans="1:13" ht="85.5">
      <c r="A224" s="30" t="s">
        <v>515</v>
      </c>
      <c r="B224" s="30">
        <v>101</v>
      </c>
      <c r="C224" s="30" t="s">
        <v>516</v>
      </c>
      <c r="D224" s="30" t="s">
        <v>233</v>
      </c>
      <c r="F224" s="30" t="s">
        <v>560</v>
      </c>
      <c r="H224" s="30">
        <f>INDEX(пред!$A$1:$F$222,MATCH(итог!A224,пред!$A$1:$A$222,0),4)</f>
        <v>4</v>
      </c>
      <c r="I224" s="30" t="s">
        <v>516</v>
      </c>
      <c r="J224" s="30" t="s">
        <v>233</v>
      </c>
      <c r="L224" s="30">
        <v>77</v>
      </c>
      <c r="M224" s="30" t="e">
        <f>INDEX(защ!$A$1:$H$218,MATCH(итог!A224,защ!$A$1:$A$218,0),4)</f>
        <v>#N/A</v>
      </c>
    </row>
    <row r="225" spans="1:13" ht="57">
      <c r="A225" s="30" t="s">
        <v>517</v>
      </c>
      <c r="B225" s="30">
        <v>101</v>
      </c>
      <c r="C225" s="30" t="s">
        <v>518</v>
      </c>
      <c r="D225" s="30" t="s">
        <v>41</v>
      </c>
      <c r="F225" s="30" t="s">
        <v>578</v>
      </c>
      <c r="H225" s="30">
        <f>INDEX(пред!$A$1:$F$222,MATCH(итог!A225,пред!$A$1:$A$222,0),4)</f>
        <v>5</v>
      </c>
      <c r="I225" s="30" t="s">
        <v>518</v>
      </c>
      <c r="J225" s="30" t="s">
        <v>41</v>
      </c>
      <c r="L225" s="30">
        <v>96</v>
      </c>
      <c r="M225" s="30" t="e">
        <f>INDEX(защ!$A$1:$H$218,MATCH(итог!A225,защ!$A$1:$A$218,0),4)</f>
        <v>#N/A</v>
      </c>
    </row>
    <row r="226" spans="1:13" ht="42.75">
      <c r="A226" s="30" t="s">
        <v>519</v>
      </c>
      <c r="B226" s="30">
        <v>101</v>
      </c>
      <c r="C226" s="30" t="s">
        <v>520</v>
      </c>
      <c r="D226" s="30" t="s">
        <v>121</v>
      </c>
      <c r="F226" s="30" t="s">
        <v>575</v>
      </c>
      <c r="H226" s="30">
        <f>INDEX(пред!$A$1:$F$222,MATCH(итог!A226,пред!$A$1:$A$222,0),4)</f>
        <v>5</v>
      </c>
      <c r="I226" s="30" t="s">
        <v>520</v>
      </c>
      <c r="J226" s="30" t="s">
        <v>121</v>
      </c>
      <c r="L226" s="30">
        <v>60</v>
      </c>
      <c r="M226" s="30" t="e">
        <f>INDEX(защ!$A$1:$H$218,MATCH(итог!A226,защ!$A$1:$A$218,0),4)</f>
        <v>#N/A</v>
      </c>
    </row>
    <row r="227" spans="1:13" ht="71.25">
      <c r="A227" s="30" t="s">
        <v>521</v>
      </c>
      <c r="B227" s="30">
        <v>101</v>
      </c>
      <c r="C227" s="30" t="s">
        <v>522</v>
      </c>
      <c r="D227" s="30" t="s">
        <v>299</v>
      </c>
      <c r="F227" s="30" t="s">
        <v>577</v>
      </c>
      <c r="G227" s="30" t="s">
        <v>597</v>
      </c>
      <c r="H227" s="30">
        <f>INDEX(пред!$A$1:$F$222,MATCH(итог!A227,пред!$A$1:$A$222,0),4)</f>
        <v>3</v>
      </c>
      <c r="I227" s="30" t="s">
        <v>522</v>
      </c>
      <c r="J227" s="30" t="s">
        <v>299</v>
      </c>
      <c r="M227" s="30" t="e">
        <f>INDEX(защ!$A$1:$H$218,MATCH(итог!A227,защ!$A$1:$A$218,0),4)</f>
        <v>#N/A</v>
      </c>
    </row>
    <row r="228" spans="1:13" ht="28.5">
      <c r="A228" s="30" t="s">
        <v>523</v>
      </c>
      <c r="B228" s="30">
        <v>101</v>
      </c>
      <c r="C228" s="30" t="s">
        <v>524</v>
      </c>
      <c r="D228" s="30" t="s">
        <v>74</v>
      </c>
      <c r="G228" s="30" t="s">
        <v>596</v>
      </c>
      <c r="H228" s="30" t="e">
        <f>INDEX(пред!$A$1:$F$222,MATCH(итог!A228,пред!$A$1:$A$222,0),4)</f>
        <v>#N/A</v>
      </c>
      <c r="I228" s="30" t="s">
        <v>524</v>
      </c>
      <c r="J228" s="30" t="s">
        <v>74</v>
      </c>
      <c r="K228" s="30" t="s">
        <v>599</v>
      </c>
      <c r="M228" s="30" t="e">
        <f>INDEX(защ!$A$1:$H$218,MATCH(итог!A228,защ!$A$1:$A$218,0),4)</f>
        <v>#N/A</v>
      </c>
    </row>
    <row r="229" spans="1:13" ht="28.5">
      <c r="A229" s="30" t="s">
        <v>525</v>
      </c>
      <c r="B229" s="30">
        <v>101</v>
      </c>
      <c r="C229" s="30" t="s">
        <v>526</v>
      </c>
      <c r="D229" s="30" t="s">
        <v>41</v>
      </c>
      <c r="G229" s="30" t="s">
        <v>596</v>
      </c>
      <c r="H229" s="30" t="e">
        <f>INDEX(пред!$A$1:$F$222,MATCH(итог!A229,пред!$A$1:$A$222,0),4)</f>
        <v>#N/A</v>
      </c>
      <c r="I229" s="30" t="s">
        <v>526</v>
      </c>
      <c r="J229" s="30" t="s">
        <v>41</v>
      </c>
      <c r="K229" s="30" t="s">
        <v>599</v>
      </c>
      <c r="M229" s="30" t="e">
        <f>INDEX(защ!$A$1:$H$218,MATCH(итог!A229,защ!$A$1:$A$218,0),4)</f>
        <v>#N/A</v>
      </c>
    </row>
    <row r="230" spans="1:13" ht="42.75">
      <c r="A230" s="30" t="s">
        <v>527</v>
      </c>
      <c r="B230" s="30">
        <v>101</v>
      </c>
      <c r="C230" s="30" t="s">
        <v>528</v>
      </c>
      <c r="D230" s="30" t="s">
        <v>8</v>
      </c>
      <c r="F230" s="30" t="s">
        <v>593</v>
      </c>
      <c r="H230" s="30">
        <f>INDEX(пред!$A$1:$F$222,MATCH(итог!A230,пред!$A$1:$A$222,0),4)</f>
        <v>5</v>
      </c>
      <c r="I230" s="30" t="s">
        <v>528</v>
      </c>
      <c r="J230" s="30" t="s">
        <v>41</v>
      </c>
      <c r="L230" s="30">
        <v>69</v>
      </c>
      <c r="M230" s="30">
        <f>INDEX(защ!$A$1:$H$218,MATCH(итог!A230,защ!$A$1:$A$218,0),4)</f>
        <v>5</v>
      </c>
    </row>
    <row r="231" spans="1:13" ht="71.25">
      <c r="A231" s="30" t="s">
        <v>529</v>
      </c>
      <c r="B231" s="30">
        <v>101</v>
      </c>
      <c r="C231" s="30" t="s">
        <v>530</v>
      </c>
      <c r="D231" s="30" t="s">
        <v>106</v>
      </c>
      <c r="E231" s="30" t="s">
        <v>60</v>
      </c>
      <c r="F231" s="30" t="s">
        <v>594</v>
      </c>
      <c r="H231" s="30">
        <f>INDEX(пред!$A$1:$F$222,MATCH(итог!A231,пред!$A$1:$A$222,0),4)</f>
        <v>5</v>
      </c>
      <c r="I231" s="30" t="s">
        <v>530</v>
      </c>
      <c r="J231" s="30" t="s">
        <v>106</v>
      </c>
      <c r="L231" s="30">
        <v>51</v>
      </c>
      <c r="M231" s="30" t="e">
        <f>INDEX(защ!$A$1:$H$218,MATCH(итог!A231,защ!$A$1:$A$218,0),4)</f>
        <v>#N/A</v>
      </c>
    </row>
    <row r="232" spans="1:13" ht="57">
      <c r="A232" s="30" t="s">
        <v>531</v>
      </c>
      <c r="B232" s="30">
        <v>101</v>
      </c>
      <c r="C232" s="30" t="s">
        <v>532</v>
      </c>
      <c r="D232" s="30" t="s">
        <v>74</v>
      </c>
      <c r="F232" s="30" t="s">
        <v>548</v>
      </c>
      <c r="H232" s="30">
        <f>INDEX(пред!$A$1:$F$222,MATCH(итог!A232,пред!$A$1:$A$222,0),4)</f>
        <v>5</v>
      </c>
      <c r="I232" s="30" t="s">
        <v>532</v>
      </c>
      <c r="J232" s="30" t="s">
        <v>74</v>
      </c>
      <c r="L232" s="30">
        <v>49</v>
      </c>
      <c r="M232" s="30" t="e">
        <f>INDEX(защ!$A$1:$H$218,MATCH(итог!A232,защ!$A$1:$A$218,0),4)</f>
        <v>#N/A</v>
      </c>
    </row>
    <row r="233" spans="1:13" ht="71.25">
      <c r="A233" s="30" t="s">
        <v>533</v>
      </c>
      <c r="B233" s="30">
        <v>101</v>
      </c>
      <c r="C233" s="30" t="s">
        <v>534</v>
      </c>
      <c r="D233" s="30" t="s">
        <v>299</v>
      </c>
      <c r="F233" s="30" t="s">
        <v>595</v>
      </c>
      <c r="H233" s="30">
        <f>INDEX(пред!$A$1:$F$222,MATCH(итог!A233,пред!$A$1:$A$222,0),4)</f>
        <v>5</v>
      </c>
      <c r="I233" s="30" t="s">
        <v>534</v>
      </c>
      <c r="J233" s="30" t="s">
        <v>299</v>
      </c>
      <c r="L233" s="30">
        <v>51</v>
      </c>
      <c r="M233" s="30" t="e">
        <f>INDEX(защ!$A$1:$H$218,MATCH(итог!A233,защ!$A$1:$A$218,0),4)</f>
        <v>#N/A</v>
      </c>
    </row>
    <row r="234" spans="1:13" ht="57">
      <c r="A234" s="30" t="s">
        <v>535</v>
      </c>
      <c r="B234" s="30">
        <v>101</v>
      </c>
      <c r="C234" s="30" t="s">
        <v>536</v>
      </c>
      <c r="D234" s="30" t="s">
        <v>59</v>
      </c>
      <c r="F234" s="30" t="s">
        <v>574</v>
      </c>
      <c r="G234" s="30" t="s">
        <v>597</v>
      </c>
      <c r="H234" s="30">
        <f>INDEX(пред!$A$1:$F$222,MATCH(итог!A234,пред!$A$1:$A$222,0),4)</f>
        <v>3</v>
      </c>
      <c r="I234" s="30" t="s">
        <v>536</v>
      </c>
      <c r="J234" s="30" t="s">
        <v>41</v>
      </c>
      <c r="L234" s="30">
        <v>79</v>
      </c>
      <c r="M234" s="30" t="e">
        <f>INDEX(защ!$A$1:$H$218,MATCH(итог!A234,защ!$A$1:$A$218,0),4)</f>
        <v>#N/A</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5</vt:i4>
      </vt:variant>
    </vt:vector>
  </HeadingPairs>
  <TitlesOfParts>
    <vt:vector size="5" baseType="lpstr">
      <vt:lpstr>Лист1</vt:lpstr>
      <vt:lpstr>защ</vt:lpstr>
      <vt:lpstr>пред</vt:lpstr>
      <vt:lpstr>итог</vt:lpstr>
      <vt:lpstr>Лист2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AlexAndrA ACЯ</dc:creator>
  <cp:lastModifiedBy>AlexAndrA ACЯ</cp:lastModifiedBy>
  <dcterms:created xsi:type="dcterms:W3CDTF">2026-02-16T09:29:19Z</dcterms:created>
  <dcterms:modified xsi:type="dcterms:W3CDTF">2026-03-02T15:16:31Z</dcterms:modified>
</cp:coreProperties>
</file>