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b_Pyth\Предзащиты\ВКР\Modal_Program\Data\"/>
    </mc:Choice>
  </mc:AlternateContent>
  <bookViews>
    <workbookView xWindow="0" yWindow="0" windowWidth="18900" windowHeight="6795" activeTab="3"/>
  </bookViews>
  <sheets>
    <sheet name="Лист1" sheetId="1" r:id="rId1"/>
    <sheet name="защ" sheetId="4" r:id="rId2"/>
    <sheet name="пред" sheetId="3" r:id="rId3"/>
    <sheet name="итог" sheetId="2" r:id="rId4"/>
  </sheets>
  <definedNames>
    <definedName name="_xlnm._FilterDatabase" localSheetId="3" hidden="1">итог!$A$1:$N$2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J2" i="1" l="1"/>
  <c r="K2" i="1"/>
</calcChain>
</file>

<file path=xl/sharedStrings.xml><?xml version="1.0" encoding="utf-8"?>
<sst xmlns="http://schemas.openxmlformats.org/spreadsheetml/2006/main" count="61" uniqueCount="33">
  <si>
    <t>№п/п</t>
  </si>
  <si>
    <t>ФИО</t>
  </si>
  <si>
    <t>Группа</t>
  </si>
  <si>
    <t>Тема</t>
  </si>
  <si>
    <t>Руководитель</t>
  </si>
  <si>
    <t>Консультант</t>
  </si>
  <si>
    <t>Булакина Мария Борисовна, Кандидат технических наук, Доцент, Доцент каф. 806</t>
  </si>
  <si>
    <t>Новая тема</t>
  </si>
  <si>
    <t>Новый руководитель</t>
  </si>
  <si>
    <t>Новый консультант</t>
  </si>
  <si>
    <t>Присутствие на предзащите</t>
  </si>
  <si>
    <t>Присутствие на защите</t>
  </si>
  <si>
    <t>Рецензент</t>
  </si>
  <si>
    <t>Количество листов в дипломе</t>
  </si>
  <si>
    <t>Оценка за предзащиту</t>
  </si>
  <si>
    <t>Оценка за защиту</t>
  </si>
  <si>
    <t>Оценка</t>
  </si>
  <si>
    <t>Вопросы</t>
  </si>
  <si>
    <t>Замечания</t>
  </si>
  <si>
    <t>ГОСТ</t>
  </si>
  <si>
    <t>Антиплагиат</t>
  </si>
  <si>
    <t>QR не работает
Консультант Ильченко</t>
  </si>
  <si>
    <t>Отправлено на доработку</t>
  </si>
  <si>
    <t>Прислал</t>
  </si>
  <si>
    <t>Лукин - Что такое инфоструктура?
Киндинова - Что такое технические диаграммы?
Киндинова - Что такое DFD?
Романенков - А что вообще сделано?
Романенков - Как определяли оптимальное разбиение?</t>
  </si>
  <si>
    <t>2025г
Нумерация и Изменить фон
Убрать DFD и "технические диаграммы"
Исправить грамматические ошибки</t>
  </si>
  <si>
    <t>Совпадение темы</t>
  </si>
  <si>
    <t>Совпадение руководителя</t>
  </si>
  <si>
    <t>Совпадение консультанта</t>
  </si>
  <si>
    <t>Иванов Иван Иванович</t>
  </si>
  <si>
    <t>Система автоматизации процессов транспортировки</t>
  </si>
  <si>
    <t>Автоматизация транспортировки</t>
  </si>
  <si>
    <t>Куравский - Как организовано взаимодействие пользователя с системой?
Куравский - В чем полезный вклад в систему?
Шелухин - По какому параметр идёт нормализация?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</si>
</sst>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/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6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left" vertical="top" wrapText="1"/>
    </xf>
    <xf numFmtId="0" fontId="3" fillId="3" borderId="0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right" wrapText="1"/>
    </xf>
    <xf numFmtId="0" fontId="5" fillId="0" borderId="0" xfId="0" applyFont="1" applyFill="1" applyAlignment="1">
      <alignment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zoomScale="53" workbookViewId="0">
      <selection activeCell="E19" sqref="E19"/>
    </sheetView>
  </sheetViews>
  <sheetFormatPr defaultRowHeight="14.25" x14ac:dyDescent="0.45"/>
  <cols>
    <col min="1" max="1" width="5.73046875" bestFit="1" customWidth="1"/>
    <col min="2" max="2" width="21.59765625" bestFit="1" customWidth="1"/>
    <col min="3" max="3" width="7.265625" bestFit="1" customWidth="1"/>
    <col min="4" max="4" width="47.73046875" bestFit="1" customWidth="1"/>
    <col min="5" max="5" width="75.9296875" bestFit="1" customWidth="1"/>
    <col min="6" max="6" width="12.265625" bestFit="1" customWidth="1"/>
    <col min="7" max="7" width="30" bestFit="1" customWidth="1"/>
    <col min="8" max="8" width="64.59765625" bestFit="1" customWidth="1"/>
    <col min="9" max="9" width="15.53125" bestFit="1" customWidth="1"/>
    <col min="10" max="10" width="14.3984375" bestFit="1" customWidth="1"/>
    <col min="11" max="11" width="20.9296875" bestFit="1" customWidth="1"/>
    <col min="12" max="12" width="20.33203125" bestFit="1" customWidth="1"/>
  </cols>
  <sheetData>
    <row r="1" spans="1:12" ht="31.1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7</v>
      </c>
      <c r="H1" s="6" t="s">
        <v>8</v>
      </c>
      <c r="I1" s="6" t="s">
        <v>9</v>
      </c>
      <c r="J1" s="13" t="s">
        <v>26</v>
      </c>
      <c r="K1" s="13" t="s">
        <v>27</v>
      </c>
      <c r="L1" s="13" t="s">
        <v>28</v>
      </c>
    </row>
    <row r="2" spans="1:12" ht="31.15" thickBot="1" x14ac:dyDescent="0.5">
      <c r="A2" s="3">
        <v>1</v>
      </c>
      <c r="B2" s="9" t="s">
        <v>29</v>
      </c>
      <c r="C2" s="4">
        <v>401</v>
      </c>
      <c r="D2" s="9" t="s">
        <v>30</v>
      </c>
      <c r="E2" s="4" t="s">
        <v>6</v>
      </c>
      <c r="F2" s="5"/>
      <c r="G2" s="9" t="s">
        <v>31</v>
      </c>
      <c r="H2" s="7" t="s">
        <v>6</v>
      </c>
      <c r="I2" s="8"/>
      <c r="J2" t="str">
        <f t="shared" ref="J2" si="0">IF(D2=G2,"ОК","Несоответствие")</f>
        <v>Несоответствие</v>
      </c>
      <c r="K2" t="str">
        <f t="shared" ref="K2" si="1">IF(E2=H2,"ОК","Несоответствие")</f>
        <v>ОК</v>
      </c>
      <c r="L2" t="str">
        <f>IF(F2=I2,"ОК","Несоответствие")</f>
        <v>ОК</v>
      </c>
    </row>
  </sheetData>
  <conditionalFormatting sqref="J1:L1048576">
    <cfRule type="cellIs" dxfId="0" priority="1" operator="equal">
      <formula>"Несоответствие"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zoomScale="63" zoomScaleNormal="63" workbookViewId="0">
      <selection activeCell="B16" sqref="B16"/>
    </sheetView>
  </sheetViews>
  <sheetFormatPr defaultColWidth="16.6640625" defaultRowHeight="15.75" x14ac:dyDescent="0.45"/>
  <cols>
    <col min="1" max="1" width="22.06640625" style="11" bestFit="1" customWidth="1"/>
    <col min="2" max="2" width="29.3984375" style="11" bestFit="1" customWidth="1"/>
    <col min="3" max="3" width="54.86328125" style="11" bestFit="1" customWidth="1"/>
    <col min="4" max="4" width="7.6640625" style="11" bestFit="1" customWidth="1"/>
    <col min="5" max="5" width="70.1328125" style="11" bestFit="1" customWidth="1"/>
    <col min="6" max="6" width="21.53125" style="11" bestFit="1" customWidth="1"/>
    <col min="7" max="7" width="15.33203125" style="11" bestFit="1" customWidth="1"/>
    <col min="8" max="8" width="12.53125" style="11" bestFit="1" customWidth="1"/>
    <col min="9" max="16384" width="16.6640625" style="11"/>
  </cols>
  <sheetData>
    <row r="1" spans="1:8" x14ac:dyDescent="0.45">
      <c r="A1" s="11" t="s">
        <v>1</v>
      </c>
      <c r="B1" s="11" t="s">
        <v>3</v>
      </c>
      <c r="C1" s="11" t="s">
        <v>4</v>
      </c>
      <c r="D1" s="11" t="s">
        <v>16</v>
      </c>
      <c r="E1" s="11" t="s">
        <v>17</v>
      </c>
      <c r="F1" s="11" t="s">
        <v>18</v>
      </c>
      <c r="G1" s="12" t="s">
        <v>19</v>
      </c>
      <c r="H1" s="12" t="s">
        <v>20</v>
      </c>
    </row>
    <row r="2" spans="1:8" ht="47.25" x14ac:dyDescent="0.45">
      <c r="A2" s="14" t="s">
        <v>29</v>
      </c>
      <c r="B2" s="9" t="s">
        <v>31</v>
      </c>
      <c r="C2" s="11" t="s">
        <v>6</v>
      </c>
      <c r="D2" s="11">
        <v>5</v>
      </c>
      <c r="E2" s="11" t="s">
        <v>32</v>
      </c>
      <c r="F2" s="11" t="s">
        <v>21</v>
      </c>
      <c r="G2" s="11" t="s">
        <v>22</v>
      </c>
      <c r="H2" s="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opLeftCell="C1" zoomScale="63" workbookViewId="0">
      <selection activeCell="D9" sqref="D9"/>
    </sheetView>
  </sheetViews>
  <sheetFormatPr defaultRowHeight="15.75" x14ac:dyDescent="0.45"/>
  <cols>
    <col min="1" max="1" width="22.1328125" style="11" bestFit="1" customWidth="1"/>
    <col min="2" max="2" width="46.3984375" style="11" bestFit="1" customWidth="1"/>
    <col min="3" max="3" width="77.53125" style="11" bestFit="1" customWidth="1"/>
    <col min="4" max="4" width="7.6640625" style="11" bestFit="1" customWidth="1"/>
    <col min="5" max="5" width="47.46484375" style="11" bestFit="1" customWidth="1"/>
    <col min="6" max="6" width="93.86328125" style="11" bestFit="1" customWidth="1"/>
    <col min="7" max="16384" width="9.06640625" style="11"/>
  </cols>
  <sheetData>
    <row r="1" spans="1:6" x14ac:dyDescent="0.45">
      <c r="A1" s="11" t="s">
        <v>1</v>
      </c>
      <c r="B1" s="11" t="s">
        <v>3</v>
      </c>
      <c r="C1" s="11" t="s">
        <v>4</v>
      </c>
      <c r="D1" s="11" t="s">
        <v>16</v>
      </c>
      <c r="E1" s="11" t="s">
        <v>17</v>
      </c>
      <c r="F1" s="11" t="s">
        <v>18</v>
      </c>
    </row>
    <row r="2" spans="1:6" ht="77.25" x14ac:dyDescent="0.45">
      <c r="A2" s="14" t="s">
        <v>29</v>
      </c>
      <c r="B2" s="9" t="s">
        <v>30</v>
      </c>
      <c r="C2" s="15" t="s">
        <v>6</v>
      </c>
      <c r="D2" s="16">
        <v>3</v>
      </c>
      <c r="E2" s="17" t="s">
        <v>24</v>
      </c>
      <c r="F2" s="10" t="s">
        <v>25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zoomScale="50" zoomScaleNormal="70" workbookViewId="0">
      <selection activeCell="C16" sqref="C16"/>
    </sheetView>
  </sheetViews>
  <sheetFormatPr defaultRowHeight="14.25" x14ac:dyDescent="0.45"/>
  <cols>
    <col min="1" max="1" width="20.86328125" style="9" bestFit="1" customWidth="1"/>
    <col min="2" max="2" width="11.1328125" style="9" bestFit="1" customWidth="1"/>
    <col min="3" max="3" width="47" style="9" bestFit="1" customWidth="1"/>
    <col min="4" max="4" width="72.59765625" style="9" bestFit="1" customWidth="1"/>
    <col min="5" max="5" width="15.796875" style="9" bestFit="1" customWidth="1"/>
    <col min="6" max="6" width="14.33203125" style="9" bestFit="1" customWidth="1"/>
    <col min="7" max="7" width="29.53125" style="9" bestFit="1" customWidth="1"/>
    <col min="8" max="8" width="24.86328125" style="9" bestFit="1" customWidth="1"/>
    <col min="9" max="9" width="29.6640625" style="9" bestFit="1" customWidth="1"/>
    <col min="10" max="10" width="72.59765625" style="9" bestFit="1" customWidth="1"/>
    <col min="11" max="11" width="25.1328125" style="9" bestFit="1" customWidth="1"/>
    <col min="12" max="12" width="31.265625" style="9" bestFit="1" customWidth="1"/>
    <col min="13" max="13" width="20.46484375" style="9" bestFit="1" customWidth="1"/>
    <col min="14" max="16384" width="9.06640625" style="9"/>
  </cols>
  <sheetData>
    <row r="1" spans="1:13" x14ac:dyDescent="0.45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12</v>
      </c>
      <c r="G1" s="9" t="s">
        <v>10</v>
      </c>
      <c r="H1" s="9" t="s">
        <v>14</v>
      </c>
      <c r="I1" s="9" t="s">
        <v>7</v>
      </c>
      <c r="J1" s="9" t="s">
        <v>8</v>
      </c>
      <c r="K1" s="9" t="s">
        <v>11</v>
      </c>
      <c r="L1" s="9" t="s">
        <v>13</v>
      </c>
      <c r="M1" s="9" t="s">
        <v>15</v>
      </c>
    </row>
    <row r="2" spans="1:13" x14ac:dyDescent="0.45">
      <c r="A2" s="9" t="s">
        <v>29</v>
      </c>
      <c r="B2" s="9">
        <v>401</v>
      </c>
      <c r="C2" s="9" t="s">
        <v>30</v>
      </c>
      <c r="D2" s="9" t="s">
        <v>6</v>
      </c>
      <c r="H2" s="9">
        <v>3</v>
      </c>
      <c r="I2" s="9" t="s">
        <v>31</v>
      </c>
      <c r="J2" s="9" t="s">
        <v>6</v>
      </c>
      <c r="L2" s="9">
        <v>58</v>
      </c>
      <c r="M2" s="9">
        <v>5</v>
      </c>
    </row>
  </sheetData>
  <autoFilter ref="A1:N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защ</vt:lpstr>
      <vt:lpstr>пред</vt:lpstr>
      <vt:lpstr>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ACЯ</dc:creator>
  <cp:lastModifiedBy>AlexAndrA ACЯ</cp:lastModifiedBy>
  <dcterms:created xsi:type="dcterms:W3CDTF">2026-02-16T09:29:19Z</dcterms:created>
  <dcterms:modified xsi:type="dcterms:W3CDTF">2026-04-15T10:39:22Z</dcterms:modified>
</cp:coreProperties>
</file>